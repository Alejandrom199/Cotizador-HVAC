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ye\Downloads\Archivos compartidos\"/>
    </mc:Choice>
  </mc:AlternateContent>
  <xr:revisionPtr revIDLastSave="0" documentId="8_{91A73394-E94E-49BE-BF7C-EB6BE67CC0B0}" xr6:coauthVersionLast="47" xr6:coauthVersionMax="47" xr10:uidLastSave="{00000000-0000-0000-0000-000000000000}"/>
  <bookViews>
    <workbookView xWindow="2388" yWindow="36" windowWidth="18888" windowHeight="12240" activeTab="2" xr2:uid="{95601B18-C5BF-48B1-AEDD-DAD8B3887067}"/>
  </bookViews>
  <sheets>
    <sheet name="REVISION (3)" sheetId="4" r:id="rId1"/>
    <sheet name="REVISION" sheetId="1" r:id="rId2"/>
    <sheet name="rev 01" sheetId="3" r:id="rId3"/>
  </sheets>
  <definedNames>
    <definedName name="_xlnm.Print_Area" localSheetId="2">'rev 01'!$A$2:$Q$57</definedName>
    <definedName name="_xlnm.Print_Area" localSheetId="1">Tabla4[#All]</definedName>
    <definedName name="_xlnm.Print_Area" localSheetId="0">'REVISION (3)'!$A$2:$G$56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3" l="1"/>
  <c r="Q7" i="3"/>
  <c r="P7" i="3"/>
  <c r="G19" i="3" l="1"/>
  <c r="G21" i="3"/>
  <c r="G22" i="3"/>
  <c r="G23" i="3"/>
  <c r="G24" i="3"/>
  <c r="G25" i="3"/>
  <c r="G26" i="3"/>
  <c r="G27" i="3"/>
  <c r="G28" i="3"/>
  <c r="G29" i="3"/>
  <c r="G30" i="3"/>
  <c r="G31" i="3"/>
  <c r="D53" i="3"/>
  <c r="G53" i="3" s="1"/>
  <c r="D51" i="3"/>
  <c r="D52" i="3"/>
  <c r="G55" i="3"/>
  <c r="G57" i="3"/>
  <c r="D57" i="3"/>
  <c r="D58" i="3" s="1"/>
  <c r="D55" i="3"/>
  <c r="G52" i="3"/>
  <c r="D59" i="3"/>
  <c r="H26" i="3"/>
  <c r="Q26" i="3"/>
  <c r="D56" i="4"/>
  <c r="G55" i="4"/>
  <c r="D55" i="4"/>
  <c r="G54" i="4"/>
  <c r="D54" i="4"/>
  <c r="D53" i="4"/>
  <c r="D52" i="4"/>
  <c r="D51" i="4"/>
  <c r="D50" i="4"/>
  <c r="D48" i="4"/>
  <c r="J47" i="4"/>
  <c r="K47" i="4" s="1"/>
  <c r="Q46" i="4"/>
  <c r="J46" i="4"/>
  <c r="Q45" i="4"/>
  <c r="J45" i="4"/>
  <c r="Q44" i="4"/>
  <c r="J44" i="4"/>
  <c r="Q43" i="4"/>
  <c r="J43" i="4"/>
  <c r="Q42" i="4"/>
  <c r="J42" i="4"/>
  <c r="Q41" i="4"/>
  <c r="J41" i="4"/>
  <c r="Q39" i="4"/>
  <c r="J39" i="4"/>
  <c r="Q38" i="4"/>
  <c r="J38" i="4"/>
  <c r="Q37" i="4"/>
  <c r="J37" i="4"/>
  <c r="Q36" i="4"/>
  <c r="J36" i="4"/>
  <c r="Q35" i="4"/>
  <c r="J35" i="4"/>
  <c r="Q34" i="4"/>
  <c r="J34" i="4"/>
  <c r="Q33" i="4"/>
  <c r="J33" i="4"/>
  <c r="Q32" i="4"/>
  <c r="J32" i="4"/>
  <c r="Q31" i="4"/>
  <c r="J31" i="4"/>
  <c r="R30" i="4"/>
  <c r="P30" i="4"/>
  <c r="Q30" i="4" s="1"/>
  <c r="R29" i="4"/>
  <c r="Q29" i="4"/>
  <c r="P29" i="4"/>
  <c r="J29" i="4"/>
  <c r="R28" i="4"/>
  <c r="P28" i="4"/>
  <c r="Q28" i="4" s="1"/>
  <c r="J28" i="4"/>
  <c r="R27" i="4"/>
  <c r="P27" i="4"/>
  <c r="Q27" i="4" s="1"/>
  <c r="J27" i="4"/>
  <c r="R26" i="4"/>
  <c r="Q26" i="4"/>
  <c r="J26" i="4"/>
  <c r="R25" i="4"/>
  <c r="P25" i="4"/>
  <c r="Q25" i="4" s="1"/>
  <c r="J25" i="4"/>
  <c r="R24" i="4"/>
  <c r="P24" i="4"/>
  <c r="Q24" i="4" s="1"/>
  <c r="J24" i="4"/>
  <c r="R23" i="4"/>
  <c r="Q23" i="4"/>
  <c r="J23" i="4"/>
  <c r="R22" i="4"/>
  <c r="Q22" i="4"/>
  <c r="J22" i="4"/>
  <c r="R21" i="4"/>
  <c r="Q21" i="4"/>
  <c r="J21" i="4"/>
  <c r="R20" i="4"/>
  <c r="P20" i="4"/>
  <c r="Q20" i="4" s="1"/>
  <c r="J20" i="4"/>
  <c r="R19" i="4"/>
  <c r="Q19" i="4"/>
  <c r="J19" i="4"/>
  <c r="R18" i="4"/>
  <c r="P18" i="4"/>
  <c r="Q18" i="4" s="1"/>
  <c r="R17" i="4"/>
  <c r="Q17" i="4"/>
  <c r="J17" i="4"/>
  <c r="G17" i="4"/>
  <c r="R16" i="4"/>
  <c r="Q16" i="4"/>
  <c r="J16" i="4"/>
  <c r="G16" i="4"/>
  <c r="R15" i="4"/>
  <c r="Q15" i="4"/>
  <c r="J15" i="4"/>
  <c r="G15" i="4"/>
  <c r="G50" i="4" s="1"/>
  <c r="R14" i="4"/>
  <c r="Q14" i="4"/>
  <c r="J14" i="4"/>
  <c r="G14" i="4"/>
  <c r="G51" i="4" s="1"/>
  <c r="R13" i="4"/>
  <c r="P13" i="4"/>
  <c r="Q13" i="4" s="1"/>
  <c r="J13" i="4"/>
  <c r="R12" i="4"/>
  <c r="P12" i="4"/>
  <c r="Q12" i="4" s="1"/>
  <c r="J12" i="4"/>
  <c r="R11" i="4"/>
  <c r="Q11" i="4"/>
  <c r="P11" i="4"/>
  <c r="J11" i="4"/>
  <c r="R10" i="4"/>
  <c r="Q10" i="4"/>
  <c r="Q9" i="4"/>
  <c r="H9" i="4"/>
  <c r="R8" i="4"/>
  <c r="Q8" i="4"/>
  <c r="P8" i="4"/>
  <c r="O8" i="4"/>
  <c r="N8" i="4"/>
  <c r="M8" i="4"/>
  <c r="J8" i="4"/>
  <c r="R7" i="4"/>
  <c r="P7" i="4"/>
  <c r="Q7" i="4" s="1"/>
  <c r="Q6" i="4"/>
  <c r="Q5" i="4"/>
  <c r="Q4" i="4"/>
  <c r="K2" i="4"/>
  <c r="K11" i="4" s="1"/>
  <c r="J18" i="4" s="1"/>
  <c r="G51" i="3" l="1"/>
  <c r="G59" i="3" s="1"/>
  <c r="L11" i="4"/>
  <c r="K18" i="4"/>
  <c r="L13" i="4"/>
  <c r="L15" i="4"/>
  <c r="L17" i="4"/>
  <c r="L12" i="4"/>
  <c r="L14" i="4"/>
  <c r="L8" i="4"/>
  <c r="L16" i="4"/>
  <c r="K43" i="4"/>
  <c r="G48" i="4"/>
  <c r="K29" i="4"/>
  <c r="K39" i="4"/>
  <c r="K46" i="4"/>
  <c r="J30" i="4" l="1"/>
  <c r="K30" i="4" s="1"/>
  <c r="J40" i="4" l="1"/>
  <c r="K40" i="4" s="1"/>
  <c r="D49" i="3" l="1"/>
  <c r="O8" i="1"/>
  <c r="H9" i="3"/>
  <c r="Q9" i="3"/>
  <c r="D23" i="1"/>
  <c r="D24" i="1"/>
  <c r="D25" i="1"/>
  <c r="D26" i="1"/>
  <c r="D27" i="1"/>
  <c r="D28" i="1"/>
  <c r="D29" i="1"/>
  <c r="L23" i="1"/>
  <c r="L24" i="1"/>
  <c r="L25" i="1"/>
  <c r="L26" i="1"/>
  <c r="L27" i="1"/>
  <c r="L28" i="1"/>
  <c r="L29" i="1"/>
  <c r="M23" i="1"/>
  <c r="M24" i="1"/>
  <c r="M25" i="1"/>
  <c r="M26" i="1"/>
  <c r="M27" i="1"/>
  <c r="M28" i="1"/>
  <c r="M29" i="1"/>
  <c r="N23" i="1"/>
  <c r="N24" i="1"/>
  <c r="N25" i="1"/>
  <c r="N26" i="1"/>
  <c r="N27" i="1"/>
  <c r="N28" i="1"/>
  <c r="N29" i="1"/>
  <c r="P23" i="1"/>
  <c r="P24" i="1"/>
  <c r="P25" i="1"/>
  <c r="P26" i="1"/>
  <c r="P27" i="1"/>
  <c r="P28" i="1"/>
  <c r="P29" i="1"/>
  <c r="G14" i="3"/>
  <c r="G15" i="3"/>
  <c r="G16" i="3"/>
  <c r="G17" i="3"/>
  <c r="P20" i="3"/>
  <c r="Q20" i="3" s="1"/>
  <c r="P12" i="3"/>
  <c r="P11" i="3"/>
  <c r="Q11" i="3" s="1"/>
  <c r="Q47" i="3"/>
  <c r="J47" i="3"/>
  <c r="Q46" i="3"/>
  <c r="J46" i="3"/>
  <c r="Q45" i="3"/>
  <c r="J45" i="3"/>
  <c r="Q44" i="3"/>
  <c r="J44" i="3"/>
  <c r="Q43" i="3"/>
  <c r="J43" i="3"/>
  <c r="Q42" i="3"/>
  <c r="J42" i="3"/>
  <c r="Q40" i="3"/>
  <c r="J40" i="3"/>
  <c r="Q39" i="3"/>
  <c r="J39" i="3"/>
  <c r="Q38" i="3"/>
  <c r="J38" i="3"/>
  <c r="Q37" i="3"/>
  <c r="J37" i="3"/>
  <c r="Q36" i="3"/>
  <c r="J36" i="3"/>
  <c r="Q35" i="3"/>
  <c r="J35" i="3"/>
  <c r="Q34" i="3"/>
  <c r="J34" i="3"/>
  <c r="Q33" i="3"/>
  <c r="J33" i="3"/>
  <c r="Q32" i="3"/>
  <c r="J32" i="3"/>
  <c r="R31" i="3"/>
  <c r="P31" i="3"/>
  <c r="Q31" i="3" s="1"/>
  <c r="P30" i="3"/>
  <c r="Q30" i="3" s="1"/>
  <c r="R30" i="3"/>
  <c r="J30" i="3"/>
  <c r="P29" i="3"/>
  <c r="Q29" i="3" s="1"/>
  <c r="R29" i="3"/>
  <c r="J29" i="3"/>
  <c r="R28" i="3"/>
  <c r="P28" i="3"/>
  <c r="Q28" i="3" s="1"/>
  <c r="J28" i="3"/>
  <c r="R27" i="3"/>
  <c r="Q27" i="3"/>
  <c r="J27" i="3"/>
  <c r="P25" i="3"/>
  <c r="Q25" i="3" s="1"/>
  <c r="R25" i="3"/>
  <c r="J25" i="3"/>
  <c r="R24" i="3"/>
  <c r="P24" i="3"/>
  <c r="Q24" i="3" s="1"/>
  <c r="J24" i="3"/>
  <c r="Q23" i="3"/>
  <c r="R23" i="3"/>
  <c r="J23" i="3"/>
  <c r="Q22" i="3"/>
  <c r="R22" i="3"/>
  <c r="J22" i="3"/>
  <c r="Q21" i="3"/>
  <c r="R21" i="3"/>
  <c r="J21" i="3"/>
  <c r="R20" i="3"/>
  <c r="J20" i="3"/>
  <c r="Q19" i="3"/>
  <c r="R19" i="3"/>
  <c r="J19" i="3"/>
  <c r="R18" i="3"/>
  <c r="P18" i="3"/>
  <c r="Q18" i="3" s="1"/>
  <c r="R17" i="3"/>
  <c r="Q17" i="3"/>
  <c r="J17" i="3"/>
  <c r="Q16" i="3"/>
  <c r="R16" i="3"/>
  <c r="J16" i="3"/>
  <c r="R15" i="3"/>
  <c r="Q15" i="3"/>
  <c r="J15" i="3"/>
  <c r="Q14" i="3"/>
  <c r="R14" i="3"/>
  <c r="J14" i="3"/>
  <c r="R13" i="3"/>
  <c r="P13" i="3"/>
  <c r="Q13" i="3" s="1"/>
  <c r="J13" i="3"/>
  <c r="R12" i="3"/>
  <c r="Q12" i="3"/>
  <c r="J12" i="3"/>
  <c r="R11" i="3"/>
  <c r="J11" i="3"/>
  <c r="R10" i="3"/>
  <c r="Q10" i="3"/>
  <c r="Q8" i="3"/>
  <c r="R8" i="3"/>
  <c r="O8" i="3"/>
  <c r="N8" i="3"/>
  <c r="M8" i="3"/>
  <c r="J8" i="3"/>
  <c r="R7" i="3"/>
  <c r="Q6" i="3"/>
  <c r="Q5" i="3"/>
  <c r="Q4" i="3"/>
  <c r="K2" i="3"/>
  <c r="K30" i="3" s="1"/>
  <c r="P36" i="1"/>
  <c r="O36" i="1"/>
  <c r="O35" i="1"/>
  <c r="O34" i="1"/>
  <c r="O33" i="1"/>
  <c r="O31" i="1"/>
  <c r="O30" i="1"/>
  <c r="P9" i="1"/>
  <c r="O7" i="1"/>
  <c r="O11" i="1"/>
  <c r="O10" i="1"/>
  <c r="O12" i="1"/>
  <c r="O17" i="1"/>
  <c r="P17" i="1"/>
  <c r="P18" i="1"/>
  <c r="G49" i="3" l="1"/>
  <c r="J31" i="3"/>
  <c r="K31" i="3" s="1"/>
  <c r="K44" i="3"/>
  <c r="K11" i="3"/>
  <c r="J18" i="3" s="1"/>
  <c r="K40" i="3"/>
  <c r="K47" i="3"/>
  <c r="J48" i="3" s="1"/>
  <c r="K48" i="3" s="1"/>
  <c r="O19" i="1"/>
  <c r="Q22" i="1"/>
  <c r="Q20" i="1"/>
  <c r="Q12" i="1"/>
  <c r="Q13" i="1"/>
  <c r="Q31" i="1"/>
  <c r="Q32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M8" i="1"/>
  <c r="Q8" i="1" s="1"/>
  <c r="N8" i="1"/>
  <c r="M9" i="1"/>
  <c r="Q9" i="1" s="1"/>
  <c r="N9" i="1"/>
  <c r="M10" i="1"/>
  <c r="Q10" i="1" s="1"/>
  <c r="N10" i="1"/>
  <c r="M11" i="1"/>
  <c r="Q11" i="1" s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30" i="1"/>
  <c r="Q30" i="1" s="1"/>
  <c r="N30" i="1"/>
  <c r="M31" i="1"/>
  <c r="N31" i="1"/>
  <c r="M32" i="1"/>
  <c r="N32" i="1"/>
  <c r="M33" i="1"/>
  <c r="Q33" i="1" s="1"/>
  <c r="N33" i="1"/>
  <c r="M34" i="1"/>
  <c r="Q34" i="1" s="1"/>
  <c r="N34" i="1"/>
  <c r="M35" i="1"/>
  <c r="Q35" i="1" s="1"/>
  <c r="N35" i="1"/>
  <c r="M36" i="1"/>
  <c r="Q36" i="1" s="1"/>
  <c r="N36" i="1"/>
  <c r="L8" i="1"/>
  <c r="L9" i="1"/>
  <c r="L10" i="1"/>
  <c r="L11" i="1"/>
  <c r="L12" i="1"/>
  <c r="L13" i="1"/>
  <c r="L14" i="1"/>
  <c r="Q14" i="1" s="1"/>
  <c r="L15" i="1"/>
  <c r="Q15" i="1" s="1"/>
  <c r="L16" i="1"/>
  <c r="Q16" i="1" s="1"/>
  <c r="L17" i="1"/>
  <c r="Q17" i="1" s="1"/>
  <c r="L18" i="1"/>
  <c r="Q18" i="1" s="1"/>
  <c r="L19" i="1"/>
  <c r="Q19" i="1" s="1"/>
  <c r="L20" i="1"/>
  <c r="L21" i="1"/>
  <c r="Q21" i="1" s="1"/>
  <c r="L22" i="1"/>
  <c r="L30" i="1"/>
  <c r="L31" i="1"/>
  <c r="L32" i="1"/>
  <c r="L33" i="1"/>
  <c r="L34" i="1"/>
  <c r="L35" i="1"/>
  <c r="L36" i="1"/>
  <c r="J41" i="3" l="1"/>
  <c r="K41" i="3" s="1"/>
  <c r="L12" i="3"/>
  <c r="L8" i="3"/>
  <c r="L15" i="3"/>
  <c r="K18" i="3"/>
  <c r="L13" i="3"/>
  <c r="L14" i="3"/>
  <c r="L16" i="3"/>
  <c r="L17" i="3"/>
  <c r="L11" i="3"/>
  <c r="G2" i="1"/>
  <c r="G10" i="1" s="1"/>
  <c r="F52" i="1"/>
  <c r="F51" i="1"/>
  <c r="F50" i="1"/>
  <c r="F49" i="1"/>
  <c r="F48" i="1"/>
  <c r="F47" i="1"/>
  <c r="F45" i="1"/>
  <c r="F44" i="1"/>
  <c r="F43" i="1"/>
  <c r="F42" i="1"/>
  <c r="F41" i="1"/>
  <c r="F40" i="1"/>
  <c r="F39" i="1"/>
  <c r="F38" i="1"/>
  <c r="F37" i="1"/>
  <c r="F22" i="1"/>
  <c r="F35" i="1"/>
  <c r="F34" i="1"/>
  <c r="F33" i="1"/>
  <c r="F32" i="1"/>
  <c r="F31" i="1"/>
  <c r="F30" i="1"/>
  <c r="F21" i="1"/>
  <c r="F20" i="1"/>
  <c r="F19" i="1"/>
  <c r="F18" i="1"/>
  <c r="F16" i="1"/>
  <c r="F15" i="1"/>
  <c r="F14" i="1"/>
  <c r="F13" i="1"/>
  <c r="F12" i="1"/>
  <c r="F11" i="1"/>
  <c r="F10" i="1"/>
  <c r="F8" i="1"/>
  <c r="K8" i="1"/>
  <c r="J8" i="1"/>
  <c r="I8" i="1"/>
  <c r="P52" i="1"/>
  <c r="P51" i="1"/>
  <c r="P50" i="1"/>
  <c r="P49" i="1"/>
  <c r="P48" i="1"/>
  <c r="P47" i="1"/>
  <c r="P37" i="1"/>
  <c r="P38" i="1"/>
  <c r="P39" i="1"/>
  <c r="P40" i="1"/>
  <c r="P41" i="1"/>
  <c r="P42" i="1"/>
  <c r="P43" i="1"/>
  <c r="P44" i="1"/>
  <c r="P45" i="1"/>
  <c r="P22" i="1"/>
  <c r="P8" i="1"/>
  <c r="P10" i="1"/>
  <c r="P11" i="1"/>
  <c r="P12" i="1"/>
  <c r="P13" i="1"/>
  <c r="P14" i="1"/>
  <c r="P15" i="1"/>
  <c r="P16" i="1"/>
  <c r="P19" i="1"/>
  <c r="P20" i="1"/>
  <c r="P21" i="1"/>
  <c r="P30" i="1"/>
  <c r="P31" i="1"/>
  <c r="P32" i="1"/>
  <c r="P33" i="1"/>
  <c r="P34" i="1"/>
  <c r="P35" i="1"/>
  <c r="P7" i="1"/>
  <c r="N7" i="1"/>
  <c r="M7" i="1"/>
  <c r="Q7" i="1" s="1"/>
  <c r="L7" i="1"/>
  <c r="P6" i="1"/>
  <c r="N6" i="1"/>
  <c r="M6" i="1"/>
  <c r="L6" i="1"/>
  <c r="P5" i="1"/>
  <c r="N5" i="1"/>
  <c r="M5" i="1"/>
  <c r="L5" i="1"/>
  <c r="P4" i="1"/>
  <c r="N4" i="1"/>
  <c r="M4" i="1"/>
  <c r="L4" i="1"/>
  <c r="G35" i="1" l="1"/>
  <c r="G49" i="1"/>
  <c r="G52" i="1"/>
  <c r="G45" i="1"/>
  <c r="F53" i="1"/>
  <c r="G53" i="1" s="1"/>
  <c r="F36" i="1"/>
  <c r="G36" i="1" s="1"/>
  <c r="F17" i="1"/>
  <c r="F46" i="1" l="1"/>
  <c r="G46" i="1" s="1"/>
  <c r="G17" i="1"/>
  <c r="H12" i="1"/>
  <c r="H13" i="1"/>
  <c r="H14" i="1"/>
  <c r="H15" i="1"/>
  <c r="H16" i="1"/>
  <c r="H11" i="1"/>
  <c r="H10" i="1"/>
  <c r="H8" i="1"/>
</calcChain>
</file>

<file path=xl/sharedStrings.xml><?xml version="1.0" encoding="utf-8"?>
<sst xmlns="http://schemas.openxmlformats.org/spreadsheetml/2006/main" count="319" uniqueCount="93">
  <si>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</si>
  <si>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</si>
  <si>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</si>
  <si>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</si>
  <si>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</si>
  <si>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</si>
  <si>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</si>
  <si>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</si>
  <si>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</si>
  <si>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DIMENSION</t>
  </si>
  <si>
    <t>AREA</t>
  </si>
  <si>
    <t>FACTOR</t>
  </si>
  <si>
    <t>CAPACIDAD</t>
  </si>
  <si>
    <t>M</t>
  </si>
  <si>
    <t>M2</t>
  </si>
  <si>
    <t>EQUIPO BTU/H</t>
  </si>
  <si>
    <t>BTU/H M2</t>
  </si>
  <si>
    <t>Columna42</t>
  </si>
  <si>
    <t>Columna43</t>
  </si>
  <si>
    <t>Columna44</t>
  </si>
  <si>
    <t>CFM</t>
  </si>
  <si>
    <t>Columna45</t>
  </si>
  <si>
    <t>M3/H</t>
  </si>
  <si>
    <r>
      <rPr>
        <sz val="9"/>
        <color theme="1"/>
        <rFont val="Aptos Narrow"/>
        <family val="2"/>
        <scheme val="minor"/>
      </rPr>
      <t>PERS</t>
    </r>
    <r>
      <rPr>
        <sz val="11"/>
        <color theme="1"/>
        <rFont val="Aptos Narrow"/>
        <family val="2"/>
        <scheme val="minor"/>
      </rPr>
      <t xml:space="preserve">
L/S </t>
    </r>
  </si>
  <si>
    <t># 
PERS</t>
  </si>
  <si>
    <t>Columna422</t>
  </si>
  <si>
    <t>CFM /PERS</t>
  </si>
  <si>
    <t>Columna423</t>
  </si>
  <si>
    <t>AREA
CFM /M2</t>
  </si>
  <si>
    <t>Columna10</t>
  </si>
  <si>
    <t>Columna424</t>
  </si>
  <si>
    <t>LC 1</t>
  </si>
  <si>
    <t>LC 2</t>
  </si>
  <si>
    <t>LC 3</t>
  </si>
  <si>
    <t>LC 4</t>
  </si>
  <si>
    <t>LC 5</t>
  </si>
  <si>
    <t>LC 6</t>
  </si>
  <si>
    <t>LC 7</t>
  </si>
  <si>
    <t>LC 12</t>
  </si>
  <si>
    <t>LC 13</t>
  </si>
  <si>
    <t>LC 14</t>
  </si>
  <si>
    <t>LC 17</t>
  </si>
  <si>
    <t>LC 26</t>
  </si>
  <si>
    <t>LC 2-3-4</t>
  </si>
  <si>
    <t>LC 6-7</t>
  </si>
  <si>
    <t xml:space="preserve">LC 8 -9 </t>
  </si>
  <si>
    <t>LC 10 -11</t>
  </si>
  <si>
    <t>LC 15-16</t>
  </si>
  <si>
    <t>LC 18-19</t>
  </si>
  <si>
    <t>LC 20-21</t>
  </si>
  <si>
    <t>LC 22-23</t>
  </si>
  <si>
    <t>LC 24-25</t>
  </si>
  <si>
    <t>Columna32</t>
  </si>
  <si>
    <t>CANT</t>
  </si>
  <si>
    <t>Columna33</t>
  </si>
  <si>
    <t>LC 13 COMIDA</t>
  </si>
  <si>
    <t>LC 1 COMIDA</t>
  </si>
  <si>
    <t>LC 2 COMIDA</t>
  </si>
  <si>
    <t>LC 3 COMIDA</t>
  </si>
  <si>
    <t>LC 4 COMIDA</t>
  </si>
  <si>
    <t>LC 5 COMIDA</t>
  </si>
  <si>
    <t>LC 6 COMIDA</t>
  </si>
  <si>
    <t>LC 7 COMIDA</t>
  </si>
  <si>
    <t>LC 26 COMIDA</t>
  </si>
  <si>
    <t>VRF</t>
  </si>
  <si>
    <t>LOCALES</t>
  </si>
  <si>
    <t>TIPO</t>
  </si>
  <si>
    <t>Columna34</t>
  </si>
  <si>
    <t>CONEDNSADOR</t>
  </si>
  <si>
    <t>Columna35</t>
  </si>
  <si>
    <t>AM300CXVAFC/ AZ</t>
  </si>
  <si>
    <t>CAC</t>
  </si>
  <si>
    <t>AM100</t>
  </si>
  <si>
    <t>AC060</t>
  </si>
  <si>
    <t>AC048</t>
  </si>
  <si>
    <t>AC036</t>
  </si>
  <si>
    <r>
      <t xml:space="preserve">CANT.
</t>
    </r>
    <r>
      <rPr>
        <b/>
        <sz val="8"/>
        <color theme="1"/>
        <rFont val="Aptos Narrow"/>
        <family val="2"/>
        <scheme val="minor"/>
      </rPr>
      <t>CONDENSADOR</t>
    </r>
  </si>
  <si>
    <t>AM180</t>
  </si>
  <si>
    <t>FC36</t>
  </si>
  <si>
    <t>FC48</t>
  </si>
  <si>
    <t>FC60</t>
  </si>
  <si>
    <t>FC76</t>
  </si>
  <si>
    <t>FC 96</t>
  </si>
  <si>
    <t>AM300</t>
  </si>
  <si>
    <t>AC36</t>
  </si>
  <si>
    <t>AC48</t>
  </si>
  <si>
    <t>AC60</t>
  </si>
  <si>
    <t>CONDENSADOR</t>
  </si>
  <si>
    <t>EVAPORADOR</t>
  </si>
  <si>
    <t>AM 120</t>
  </si>
  <si>
    <t>FC 48</t>
  </si>
  <si>
    <t>AM120</t>
  </si>
  <si>
    <t>FC54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</si>
</sst>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4" fillId="3" borderId="0" xfId="0" applyFont="1" applyFill="1" applyAlignment="1">
      <alignment wrapText="1"/>
    </xf>
    <xf numFmtId="0" fontId="0" fillId="4" borderId="0" xfId="0" applyFill="1"/>
    <xf numFmtId="0" fontId="4" fillId="4" borderId="0" xfId="0" applyFont="1" applyFill="1" applyAlignment="1">
      <alignment wrapText="1"/>
    </xf>
    <xf numFmtId="4" fontId="0" fillId="4" borderId="0" xfId="0" applyNumberFormat="1" applyFill="1"/>
    <xf numFmtId="0" fontId="0" fillId="5" borderId="0" xfId="0" applyFill="1"/>
    <xf numFmtId="4" fontId="0" fillId="5" borderId="0" xfId="0" applyNumberFormat="1" applyFill="1"/>
    <xf numFmtId="0" fontId="0" fillId="0" borderId="0" xfId="0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33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ill>
        <patternFill patternType="solid">
          <fgColor indexed="64"/>
          <bgColor rgb="FF00FF00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ill>
        <patternFill patternType="solid">
          <fgColor indexed="64"/>
          <bgColor rgb="FF00FF00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ill>
        <patternFill patternType="solid">
          <fgColor indexed="64"/>
          <bgColor rgb="FF00FF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1151467</xdr:colOff>
      <xdr:row>49</xdr:row>
      <xdr:rowOff>25397</xdr:rowOff>
    </xdr:from>
    <xdr:to>
      <xdr:col>3</xdr:col>
      <xdr:colOff>211667</xdr:colOff>
      <xdr:row>55</xdr:row>
      <xdr:rowOff>160864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81D5CF8-EFA3-4C03-854F-B41A3F6886E0}"/>
            </a:ext>
          </a:extLst>
        </xdr:cNvPr>
        <xdr:cNvSpPr/>
      </xdr:nvSpPr>
      <xdr:spPr>
        <a:xfrm>
          <a:off x="1151467" y="5648957"/>
          <a:ext cx="1262380" cy="1232747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491067</xdr:colOff>
      <xdr:row>48</xdr:row>
      <xdr:rowOff>177798</xdr:rowOff>
    </xdr:from>
    <xdr:to>
      <xdr:col>6</xdr:col>
      <xdr:colOff>237067</xdr:colOff>
      <xdr:row>56</xdr:row>
      <xdr:rowOff>8466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21335CC-D413-4CCA-9013-CD9FFEF6572B}"/>
            </a:ext>
          </a:extLst>
        </xdr:cNvPr>
        <xdr:cNvSpPr/>
      </xdr:nvSpPr>
      <xdr:spPr>
        <a:xfrm>
          <a:off x="4202007" y="5618478"/>
          <a:ext cx="1262380" cy="1293708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1151467</xdr:colOff>
      <xdr:row>50</xdr:row>
      <xdr:rowOff>25397</xdr:rowOff>
    </xdr:from>
    <xdr:to>
      <xdr:col>3</xdr:col>
      <xdr:colOff>211667</xdr:colOff>
      <xdr:row>56</xdr:row>
      <xdr:rowOff>160864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E55856E-831B-C011-3508-DF8281F67095}"/>
            </a:ext>
          </a:extLst>
        </xdr:cNvPr>
        <xdr:cNvSpPr/>
      </xdr:nvSpPr>
      <xdr:spPr>
        <a:xfrm>
          <a:off x="1151467" y="2260597"/>
          <a:ext cx="1261533" cy="1253067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491067</xdr:colOff>
      <xdr:row>49</xdr:row>
      <xdr:rowOff>177798</xdr:rowOff>
    </xdr:from>
    <xdr:to>
      <xdr:col>6</xdr:col>
      <xdr:colOff>237067</xdr:colOff>
      <xdr:row>57</xdr:row>
      <xdr:rowOff>8466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3EAF4BE-C4C0-4F8B-B59B-C595A212B363}"/>
            </a:ext>
          </a:extLst>
        </xdr:cNvPr>
        <xdr:cNvSpPr/>
      </xdr:nvSpPr>
      <xdr:spPr>
        <a:xfrm>
          <a:off x="4199467" y="6273798"/>
          <a:ext cx="1261533" cy="1320801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1644BC-DD12-45E2-8CE1-9D6336DB3BBF}" name="Tabla434" displayName="Tabla434" ref="A1:R47" totalsRowCount="1">
  <autoFilter ref="A1:R46" xr:uid="{A0A6B678-12A8-40F0-8149-D53EDE0DDB8B}"/>
  <tableColumns count="18">
    <tableColumn id="1" xr3:uid="{69828493-2C84-4D84-859C-4B35F0A49616}" name="Columna1"/>
    <tableColumn id="2" xr3:uid="{57C745F2-5C5D-430B-8415-4411BDCB2013}" name="Columna2"/>
    <tableColumn id="3" xr3:uid="{8F52DEA2-BD3F-462F-91D2-72783F9C8202}" name="Columna3"/>
    <tableColumn id="5" xr3:uid="{5C93A200-DD83-4E4D-905C-A775A41D3D68}" name="Columna32"/>
    <tableColumn id="6" xr3:uid="{1FD48CA1-5E1D-4705-B1AE-9969C94B6E70}" name="Columna33"/>
    <tableColumn id="7" xr3:uid="{6C3C0BE7-5BCF-4714-A545-E0B5193DDE16}" name="Columna34"/>
    <tableColumn id="18" xr3:uid="{717C0D8E-8EEA-4F7E-BAC2-A7F358F9BD53}" name="Columna35"/>
    <tableColumn id="4" xr3:uid="{FA1038DF-8CF2-4756-9D23-FDB288F5ECB0}" name="Columna4">
      <calculatedColumnFormula>B2*C2</calculatedColumnFormula>
    </tableColumn>
    <tableColumn id="12" xr3:uid="{A18FFAE3-1A82-4879-87A4-3C7E99DA9201}" name="Columna42"/>
    <tableColumn id="16" xr3:uid="{40CD6560-1802-4CF2-9AE3-65AF7B5E9A28}" name="Columna422" totalsRowFunction="custom" dataDxfId="25" totalsRowDxfId="24">
      <totalsRowFormula>SUBTOTAL(109,J41:K46)</totalsRowFormula>
    </tableColumn>
    <tableColumn id="17" xr3:uid="{0A8A5A8B-AB17-4C58-A47B-FCB6D4A76EC7}" name="Columna423" totalsRowFunction="custom" dataDxfId="23">
      <totalsRowFormula>Tabla434[[#Totals],[Columna422]]*1.1</totalsRowFormula>
    </tableColumn>
    <tableColumn id="11" xr3:uid="{FB29D829-A09C-4E53-A523-DD0010313FE0}" name="Columna424" dataDxfId="22"/>
    <tableColumn id="13" xr3:uid="{1CB3FB6D-8A44-4FF7-B79C-487166E957B8}" name="Columna43"/>
    <tableColumn id="14" xr3:uid="{05A7F6E2-16B1-483F-952F-FC0B0C58A121}" name="Columna44"/>
    <tableColumn id="15" xr3:uid="{E87FEA1E-07D5-4225-95E8-060BB306CCF9}" name="Columna45"/>
    <tableColumn id="8" xr3:uid="{56AA70A6-CF44-4F33-B66C-BF551406180D}" name="Columna8" dataDxfId="21" totalsRowDxfId="20"/>
    <tableColumn id="9" xr3:uid="{66A87CBB-A13D-4B44-BDE2-5F653310A569}" name="Columna9" dataDxfId="19" totalsRowDxfId="18">
      <calculatedColumnFormula>48000/Tabla434[[#This Row],[Columna8]]</calculatedColumnFormula>
    </tableColumn>
    <tableColumn id="10" xr3:uid="{6126D902-4093-49D4-8379-A13D1B1C7075}" name="Columna10" dataDxfId="1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BCB56-BE5D-4705-BD71-C10D0D380A57}" name="Tabla4" displayName="Tabla4" ref="A1:Q53" totalsRowCount="1">
  <autoFilter ref="A1:Q52" xr:uid="{A0A6B678-12A8-40F0-8149-D53EDE0DDB8B}"/>
  <tableColumns count="17">
    <tableColumn id="1" xr3:uid="{42D922EF-5967-45FE-AE2C-1D05600690D9}" name="Columna1"/>
    <tableColumn id="2" xr3:uid="{2323072A-2DCD-4C2B-A54E-2293C6DF0980}" name="Columna2"/>
    <tableColumn id="3" xr3:uid="{12DCA0D5-08CB-4B4B-85FA-D635F80D285B}" name="Columna3"/>
    <tableColumn id="4" xr3:uid="{7DE420BF-FC7B-4A82-BA10-A669D63E0215}" name="Columna4">
      <calculatedColumnFormula>B2*C2</calculatedColumnFormula>
    </tableColumn>
    <tableColumn id="12" xr3:uid="{A760AD8C-429E-4F37-B57F-2FC316FB0A7E}" name="Columna42"/>
    <tableColumn id="16" xr3:uid="{71B76AEB-576A-440C-A9C9-D8FC35EBC3B1}" name="Columna422" totalsRowFunction="custom" dataDxfId="16" totalsRowDxfId="15">
      <totalsRowFormula>SUBTOTAL(109,F47:G52)</totalsRowFormula>
    </tableColumn>
    <tableColumn id="17" xr3:uid="{330DC639-1C03-459C-9FB7-5FE8BEB0A150}" name="Columna423" totalsRowFunction="custom" dataDxfId="14">
      <totalsRowFormula>Tabla4[[#Totals],[Columna422]]*1.1</totalsRowFormula>
    </tableColumn>
    <tableColumn id="11" xr3:uid="{A8A37499-74B6-494C-860C-D1E743A99937}" name="Columna424" dataDxfId="13"/>
    <tableColumn id="13" xr3:uid="{65A9B440-9735-4118-B144-C8535A50F595}" name="Columna43"/>
    <tableColumn id="14" xr3:uid="{70410194-AB70-4293-BAA7-A9A03E0A4CFD}" name="Columna44"/>
    <tableColumn id="15" xr3:uid="{F45CF1F4-A7E0-430C-A369-4C9B142CD7E6}" name="Columna45"/>
    <tableColumn id="5" xr3:uid="{A8FF01D4-70C4-48A5-AC84-5EE11505862B}" name="Columna5" dataDxfId="12" totalsRowDxfId="11">
      <calculatedColumnFormula>D2*$L$3</calculatedColumnFormula>
    </tableColumn>
    <tableColumn id="6" xr3:uid="{6A3DB73E-4785-4296-9877-CDD8583AF6C7}" name="Columna6" dataDxfId="10" totalsRowDxfId="9">
      <calculatedColumnFormula>D2*$M$3</calculatedColumnFormula>
    </tableColumn>
    <tableColumn id="7" xr3:uid="{68E91CC2-79C4-4929-B8AE-9E8B4A68BB3D}" name="Columna7" dataDxfId="8" totalsRowDxfId="7">
      <calculatedColumnFormula>D2*$N$3</calculatedColumnFormula>
    </tableColumn>
    <tableColumn id="8" xr3:uid="{483A05A8-C5DD-4062-816E-D916F91AB70A}" name="Columna8" dataDxfId="6" totalsRowDxfId="5"/>
    <tableColumn id="9" xr3:uid="{989DA8F7-D4CF-458A-A532-E1377FDAAB89}" name="Columna9" dataDxfId="4" totalsRowDxfId="3">
      <calculatedColumnFormula>48000/Tabla4[[#This Row],[Columna8]]</calculatedColumnFormula>
    </tableColumn>
    <tableColumn id="10" xr3:uid="{8D0CE4FA-D6DA-4840-93CE-A2A6401A5C3B}" name="Columna10" dataDxfId="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B11A51-112D-4B85-A2C1-DE4DB074F24E}" name="Tabla43" displayName="Tabla43" ref="A1:R48" totalsRowCount="1">
  <autoFilter ref="A1:R47" xr:uid="{A0A6B678-12A8-40F0-8149-D53EDE0DDB8B}"/>
  <tableColumns count="18">
    <tableColumn id="1" xr3:uid="{A5B84223-345E-4AD7-80C0-9BB8390A0252}" name="Columna1"/>
    <tableColumn id="2" xr3:uid="{42DC76A5-98D6-42C4-8792-9B6EE62D9B30}" name="Columna2"/>
    <tableColumn id="3" xr3:uid="{F330896E-ACA9-4CE0-883B-CE26638E02BE}" name="Columna3"/>
    <tableColumn id="5" xr3:uid="{CD959013-7656-4E02-A45D-C7096AD8F804}" name="Columna32"/>
    <tableColumn id="6" xr3:uid="{5F30EEFE-F21C-4916-A353-413125C96B49}" name="Columna33"/>
    <tableColumn id="7" xr3:uid="{CC14DC82-3AC5-4F8A-91DD-4B7CFE877136}" name="Columna34"/>
    <tableColumn id="18" xr3:uid="{1A8F251E-933F-4476-92C0-55716315E888}" name="Columna35"/>
    <tableColumn id="4" xr3:uid="{1C58C871-FEBC-4860-A375-59BF29369820}" name="Columna4">
      <calculatedColumnFormula>B2*C2</calculatedColumnFormula>
    </tableColumn>
    <tableColumn id="12" xr3:uid="{C633FCEB-2F34-41AC-841D-50BB1D1144AA}" name="Columna42"/>
    <tableColumn id="16" xr3:uid="{C6A68C1C-9E9C-4EB3-9A90-8580F61B9105}" name="Columna422" totalsRowFunction="custom" dataDxfId="32" totalsRowDxfId="31">
      <totalsRowFormula>SUBTOTAL(109,J42:K47)</totalsRowFormula>
    </tableColumn>
    <tableColumn id="17" xr3:uid="{E1E9FE82-0A23-4DE8-85CD-70AFDB40CEA6}" name="Columna423" totalsRowFunction="custom" dataDxfId="30">
      <totalsRowFormula>Tabla43[[#Totals],[Columna422]]*1.1</totalsRowFormula>
    </tableColumn>
    <tableColumn id="11" xr3:uid="{0355C2C2-E048-42E6-A3B6-7F7ACF057D5D}" name="Columna424" dataDxfId="29"/>
    <tableColumn id="13" xr3:uid="{F1E205A9-A43E-49BE-A3C1-A165235B49E0}" name="Columna43"/>
    <tableColumn id="14" xr3:uid="{7DA9A372-2454-49D8-9FEE-48965A55A7B5}" name="Columna44"/>
    <tableColumn id="15" xr3:uid="{82759316-D883-4C39-9D29-593C753A6EF1}" name="Columna45"/>
    <tableColumn id="8" xr3:uid="{108CE119-8DC6-4725-8B06-3659DC097C08}" name="Columna8" dataDxfId="28" totalsRowDxfId="1"/>
    <tableColumn id="9" xr3:uid="{031E69E5-31BA-4C24-9247-48BE60C45340}" name="Columna9" dataDxfId="27" totalsRowDxfId="0">
      <calculatedColumnFormula>48000/Tabla43[[#This Row],[Columna8]]</calculatedColumnFormula>
    </tableColumn>
    <tableColumn id="10" xr3:uid="{461E3C11-2435-4A3F-96F2-D57170342026}" name="Columna10" dataDxfId="2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9970-B726-4E2E-8375-5B084B87F047}">
  <sheetPr>
    <pageSetUpPr fitToPage="1"/>
  </sheetPr>
  <dimension ref="A1:R56"/>
  <sheetViews>
    <sheetView view="pageBreakPreview" zoomScale="90" zoomScaleNormal="100" zoomScaleSheetLayoutView="90" workbookViewId="0">
      <pane xSplit="1" ySplit="3" topLeftCell="C9" activePane="bottomRight" state="frozen"/>
      <selection pane="topRight" activeCell="B1" sqref="B1"/>
      <selection pane="bottomLeft" activeCell="A4" sqref="A4"/>
      <selection pane="bottomRight" activeCell="C15" sqref="C15"/>
    </sheetView>
  </sheetViews>
  <sheetFormatPr baseColWidth="10" defaultRowHeight="14.4" x14ac:dyDescent="0.3"/>
  <cols>
    <col min="1" max="1" width="22.44140625" customWidth="1"/>
    <col min="2" max="2" width="0" hidden="1" customWidth="1"/>
    <col min="3" max="4" width="9.6640625" customWidth="1"/>
    <col min="5" max="5" width="12.33203125" customWidth="1"/>
    <col min="6" max="6" width="22.109375" customWidth="1"/>
    <col min="7" max="7" width="12.5546875" customWidth="1"/>
    <col min="8" max="8" width="11.6640625" customWidth="1"/>
    <col min="9" max="9" width="5.33203125" hidden="1" customWidth="1"/>
    <col min="10" max="10" width="8" hidden="1" customWidth="1"/>
    <col min="11" max="12" width="8.21875" hidden="1" customWidth="1"/>
    <col min="13" max="14" width="4.77734375" hidden="1" customWidth="1"/>
    <col min="15" max="15" width="5" hidden="1" customWidth="1"/>
    <col min="16" max="16" width="13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52</v>
      </c>
      <c r="E1" t="s">
        <v>54</v>
      </c>
      <c r="F1" t="s">
        <v>67</v>
      </c>
      <c r="G1" t="s">
        <v>69</v>
      </c>
      <c r="H1" t="s">
        <v>3</v>
      </c>
      <c r="I1" t="s">
        <v>17</v>
      </c>
      <c r="J1" t="s">
        <v>25</v>
      </c>
      <c r="K1" t="s">
        <v>27</v>
      </c>
      <c r="L1" t="s">
        <v>30</v>
      </c>
      <c r="M1" t="s">
        <v>18</v>
      </c>
      <c r="N1" t="s">
        <v>19</v>
      </c>
      <c r="O1" t="s">
        <v>21</v>
      </c>
      <c r="P1" t="s">
        <v>7</v>
      </c>
      <c r="Q1" t="s">
        <v>8</v>
      </c>
      <c r="R1" t="s">
        <v>29</v>
      </c>
    </row>
    <row r="2" spans="1:18" x14ac:dyDescent="0.3">
      <c r="B2" t="s">
        <v>9</v>
      </c>
      <c r="H2" t="s">
        <v>10</v>
      </c>
      <c r="J2" s="10">
        <v>6</v>
      </c>
      <c r="K2" s="8">
        <f>0.18/(0.3048*0.3048)</f>
        <v>1.9375038750077498</v>
      </c>
      <c r="L2" s="8"/>
      <c r="M2">
        <v>20</v>
      </c>
      <c r="N2">
        <v>42.377600000000001</v>
      </c>
      <c r="O2">
        <v>72</v>
      </c>
      <c r="P2" t="s">
        <v>12</v>
      </c>
      <c r="Q2" s="2" t="s">
        <v>11</v>
      </c>
      <c r="R2" s="2"/>
    </row>
    <row r="3" spans="1:18" ht="25.2" customHeight="1" x14ac:dyDescent="0.3">
      <c r="A3" s="16" t="s">
        <v>65</v>
      </c>
      <c r="B3" s="16" t="s">
        <v>13</v>
      </c>
      <c r="C3" s="16" t="s">
        <v>66</v>
      </c>
      <c r="D3" s="16" t="s">
        <v>53</v>
      </c>
      <c r="E3" s="16" t="s">
        <v>12</v>
      </c>
      <c r="F3" s="16" t="s">
        <v>68</v>
      </c>
      <c r="G3" s="17" t="s">
        <v>76</v>
      </c>
      <c r="H3" t="s">
        <v>14</v>
      </c>
      <c r="I3" s="7" t="s">
        <v>24</v>
      </c>
      <c r="J3" s="11" t="s">
        <v>26</v>
      </c>
      <c r="K3" s="9" t="s">
        <v>28</v>
      </c>
      <c r="L3" s="9"/>
      <c r="M3" s="7" t="s">
        <v>23</v>
      </c>
      <c r="N3" t="s">
        <v>20</v>
      </c>
      <c r="O3" t="s">
        <v>22</v>
      </c>
      <c r="P3" s="3" t="s">
        <v>15</v>
      </c>
      <c r="Q3" s="4" t="s">
        <v>16</v>
      </c>
      <c r="R3" s="2"/>
    </row>
    <row r="4" spans="1:18" hidden="1" x14ac:dyDescent="0.3">
      <c r="B4">
        <v>0</v>
      </c>
      <c r="J4" s="10"/>
      <c r="K4" s="8"/>
      <c r="L4" s="8"/>
      <c r="P4" s="2"/>
      <c r="Q4" s="2" t="e">
        <f>Tabla434[[#This Row],[Columna8]]/Tabla434[[#This Row],[Columna4]]</f>
        <v>#DIV/0!</v>
      </c>
      <c r="R4" s="2"/>
    </row>
    <row r="5" spans="1:18" hidden="1" x14ac:dyDescent="0.3">
      <c r="J5" s="10"/>
      <c r="K5" s="8"/>
      <c r="L5" s="8"/>
      <c r="P5" s="2"/>
      <c r="Q5" s="2" t="e">
        <f>Tabla434[[#This Row],[Columna8]]/Tabla434[[#This Row],[Columna4]]</f>
        <v>#DIV/0!</v>
      </c>
      <c r="R5" s="2"/>
    </row>
    <row r="6" spans="1:18" hidden="1" x14ac:dyDescent="0.3">
      <c r="B6">
        <v>0</v>
      </c>
      <c r="J6" s="10"/>
      <c r="K6" s="8"/>
      <c r="L6" s="8"/>
      <c r="P6" s="2"/>
      <c r="Q6" s="2" t="e">
        <f>Tabla434[[#This Row],[Columna8]]/Tabla434[[#This Row],[Columna4]]</f>
        <v>#DIV/0!</v>
      </c>
      <c r="R6" s="2"/>
    </row>
    <row r="7" spans="1:18" x14ac:dyDescent="0.3">
      <c r="A7" t="s">
        <v>31</v>
      </c>
      <c r="C7" t="s">
        <v>64</v>
      </c>
      <c r="D7" s="15">
        <v>6</v>
      </c>
      <c r="E7" s="15">
        <v>96000</v>
      </c>
      <c r="F7" s="15" t="s">
        <v>70</v>
      </c>
      <c r="G7" s="15">
        <v>2</v>
      </c>
      <c r="H7">
        <v>586.48</v>
      </c>
      <c r="J7" s="10"/>
      <c r="K7" s="8"/>
      <c r="L7" s="8"/>
      <c r="P7" s="2">
        <f>96000*6</f>
        <v>576000</v>
      </c>
      <c r="Q7" s="2">
        <f>Tabla434[[#This Row],[Columna8]]/Tabla434[[#This Row],[Columna4]]</f>
        <v>982.13067794298183</v>
      </c>
      <c r="R7" s="2" t="e">
        <f>#REF!/60000</f>
        <v>#REF!</v>
      </c>
    </row>
    <row r="8" spans="1:18" x14ac:dyDescent="0.3">
      <c r="A8" t="s">
        <v>43</v>
      </c>
      <c r="C8" t="s">
        <v>64</v>
      </c>
      <c r="D8" s="15">
        <v>1</v>
      </c>
      <c r="E8" s="15">
        <v>76000</v>
      </c>
      <c r="F8" s="15" t="s">
        <v>77</v>
      </c>
      <c r="G8" s="15">
        <v>1</v>
      </c>
      <c r="H8">
        <v>150.19999999999999</v>
      </c>
      <c r="I8">
        <v>30</v>
      </c>
      <c r="J8" s="10">
        <f>Tabla434[[#This Row],[Columna42]]*$J$2</f>
        <v>180</v>
      </c>
      <c r="K8" s="8"/>
      <c r="L8" s="8">
        <f>Tabla434[[#This Row],[Columna422]]*L18/J18</f>
        <v>216.03951370608425</v>
      </c>
      <c r="M8">
        <f>Tabla434[[#This Row],[Columna42]]*$M$2</f>
        <v>600</v>
      </c>
      <c r="N8">
        <f>Tabla434[[#This Row],[Columna42]]*$N$2</f>
        <v>1271.328</v>
      </c>
      <c r="O8">
        <f>Tabla434[[#This Row],[Columna42]]*$O$2</f>
        <v>2160</v>
      </c>
      <c r="P8" s="2">
        <f>60000*3</f>
        <v>180000</v>
      </c>
      <c r="Q8" s="2">
        <f>Tabla434[[#This Row],[Columna8]]/Tabla434[[#This Row],[Columna4]]</f>
        <v>1198.4021304926766</v>
      </c>
      <c r="R8" s="2" t="e">
        <f>#REF!/60000</f>
        <v>#REF!</v>
      </c>
    </row>
    <row r="9" spans="1:18" x14ac:dyDescent="0.3">
      <c r="A9" t="s">
        <v>43</v>
      </c>
      <c r="C9" t="s">
        <v>64</v>
      </c>
      <c r="D9" s="15">
        <v>1</v>
      </c>
      <c r="E9" s="15">
        <v>96000</v>
      </c>
      <c r="F9" s="15"/>
      <c r="G9" s="15"/>
      <c r="H9" t="e">
        <f>B9*C9</f>
        <v>#VALUE!</v>
      </c>
      <c r="J9" s="10"/>
      <c r="K9" s="8"/>
      <c r="L9" s="8"/>
      <c r="P9" s="2"/>
      <c r="Q9" s="2" t="e">
        <f>48000/Tabla434[[#This Row],[Columna8]]</f>
        <v>#DIV/0!</v>
      </c>
      <c r="R9" s="2"/>
    </row>
    <row r="10" spans="1:18" x14ac:dyDescent="0.3">
      <c r="A10" t="s">
        <v>35</v>
      </c>
      <c r="C10" t="s">
        <v>71</v>
      </c>
      <c r="D10" s="15">
        <v>1</v>
      </c>
      <c r="E10" s="15">
        <v>48000</v>
      </c>
      <c r="F10" s="15" t="s">
        <v>74</v>
      </c>
      <c r="G10" s="15">
        <v>1</v>
      </c>
      <c r="H10">
        <v>42.13</v>
      </c>
      <c r="J10" s="10"/>
      <c r="K10" s="8"/>
      <c r="L10" s="8"/>
      <c r="P10" s="2">
        <v>48000</v>
      </c>
      <c r="Q10" s="2">
        <f>Tabla434[[#This Row],[Columna8]]/Tabla434[[#This Row],[Columna4]]</f>
        <v>1139.3306432470922</v>
      </c>
      <c r="R10" s="2" t="e">
        <f>#REF!/60000</f>
        <v>#REF!</v>
      </c>
    </row>
    <row r="11" spans="1:18" x14ac:dyDescent="0.3">
      <c r="A11" t="s">
        <v>44</v>
      </c>
      <c r="C11" t="s">
        <v>71</v>
      </c>
      <c r="D11" s="15">
        <v>2</v>
      </c>
      <c r="E11" s="15">
        <v>48000</v>
      </c>
      <c r="F11" s="15" t="s">
        <v>74</v>
      </c>
      <c r="G11" s="15">
        <v>2</v>
      </c>
      <c r="H11">
        <v>84.26</v>
      </c>
      <c r="J11" s="10">
        <f>Tabla434[[#This Row],[Columna42]]*$J$2</f>
        <v>0</v>
      </c>
      <c r="K11" s="8">
        <f>Tabla434[[#This Row],[Columna4]]*$K$2</f>
        <v>163.25407650815302</v>
      </c>
      <c r="L11" s="8">
        <f>Tabla434[[#This Row],[Columna423]]*$L$18/$J$18</f>
        <v>195.94072944087358</v>
      </c>
      <c r="P11" s="2">
        <f>48000*2</f>
        <v>96000</v>
      </c>
      <c r="Q11" s="2">
        <f>Tabla434[[#This Row],[Columna8]]/Tabla434[[#This Row],[Columna4]]</f>
        <v>1139.3306432470922</v>
      </c>
      <c r="R11" s="2" t="e">
        <f>#REF!/60000</f>
        <v>#REF!</v>
      </c>
    </row>
    <row r="12" spans="1:18" x14ac:dyDescent="0.3">
      <c r="A12" t="s">
        <v>45</v>
      </c>
      <c r="C12" t="s">
        <v>71</v>
      </c>
      <c r="D12" s="15">
        <v>2</v>
      </c>
      <c r="E12" s="15">
        <v>48000</v>
      </c>
      <c r="F12" s="15" t="s">
        <v>74</v>
      </c>
      <c r="G12" s="15">
        <v>2</v>
      </c>
      <c r="H12">
        <v>84.26</v>
      </c>
      <c r="I12">
        <v>3</v>
      </c>
      <c r="J12" s="10">
        <f>Tabla434[[#This Row],[Columna42]]*$J$2</f>
        <v>18</v>
      </c>
      <c r="K12" s="8"/>
      <c r="L12" s="8">
        <f>Tabla434[[#This Row],[Columna422]]*$L$18/$J$18</f>
        <v>21.603951370608424</v>
      </c>
      <c r="P12" s="2">
        <f>48000*2</f>
        <v>96000</v>
      </c>
      <c r="Q12" s="2">
        <f>Tabla434[[#This Row],[Columna8]]/Tabla434[[#This Row],[Columna4]]</f>
        <v>1139.3306432470922</v>
      </c>
      <c r="R12" s="2" t="e">
        <f>#REF!/60000</f>
        <v>#REF!</v>
      </c>
    </row>
    <row r="13" spans="1:18" x14ac:dyDescent="0.3">
      <c r="A13" t="s">
        <v>46</v>
      </c>
      <c r="C13" t="s">
        <v>71</v>
      </c>
      <c r="D13" s="15">
        <v>2</v>
      </c>
      <c r="E13" s="15">
        <v>48000</v>
      </c>
      <c r="F13" s="15" t="s">
        <v>74</v>
      </c>
      <c r="G13" s="15">
        <v>2</v>
      </c>
      <c r="H13">
        <v>86.99</v>
      </c>
      <c r="I13">
        <v>3</v>
      </c>
      <c r="J13" s="10">
        <f>Tabla434[[#This Row],[Columna42]]*$J$2</f>
        <v>18</v>
      </c>
      <c r="K13" s="8"/>
      <c r="L13" s="8">
        <f>Tabla434[[#This Row],[Columna422]]*$L$18/$J$18</f>
        <v>21.603951370608424</v>
      </c>
      <c r="P13" s="2">
        <f>48000*2</f>
        <v>96000</v>
      </c>
      <c r="Q13" s="2">
        <f>Tabla434[[#This Row],[Columna8]]/Tabla434[[#This Row],[Columna4]]</f>
        <v>1103.5751235774228</v>
      </c>
      <c r="R13" s="2" t="e">
        <f>#REF!/60000</f>
        <v>#REF!</v>
      </c>
    </row>
    <row r="14" spans="1:18" x14ac:dyDescent="0.3">
      <c r="A14" t="s">
        <v>38</v>
      </c>
      <c r="C14" t="s">
        <v>71</v>
      </c>
      <c r="D14" s="15">
        <v>1</v>
      </c>
      <c r="E14" s="15">
        <v>48000</v>
      </c>
      <c r="F14" s="15" t="s">
        <v>74</v>
      </c>
      <c r="G14" s="15">
        <f>Tabla434[[#This Row],[Columna32]]</f>
        <v>1</v>
      </c>
      <c r="H14">
        <v>39.33</v>
      </c>
      <c r="J14" s="10">
        <f>Tabla434[[#This Row],[Columna42]]*$J$2</f>
        <v>0</v>
      </c>
      <c r="K14" s="8"/>
      <c r="L14" s="8">
        <f>Tabla434[[#This Row],[Columna422]]*$L$18/$J$18</f>
        <v>0</v>
      </c>
      <c r="P14" s="2">
        <v>48000</v>
      </c>
      <c r="Q14" s="2">
        <f>Tabla434[[#This Row],[Columna8]]/Tabla434[[#This Row],[Columna4]]</f>
        <v>1220.4424103737606</v>
      </c>
      <c r="R14" s="2" t="e">
        <f>#REF!/60000</f>
        <v>#REF!</v>
      </c>
    </row>
    <row r="15" spans="1:18" x14ac:dyDescent="0.3">
      <c r="A15" s="13" t="s">
        <v>55</v>
      </c>
      <c r="C15" t="s">
        <v>71</v>
      </c>
      <c r="D15" s="15">
        <v>1</v>
      </c>
      <c r="E15" s="15">
        <v>36000</v>
      </c>
      <c r="F15" s="15" t="s">
        <v>75</v>
      </c>
      <c r="G15" s="15">
        <f>Tabla434[[#This Row],[Columna32]]</f>
        <v>1</v>
      </c>
      <c r="H15">
        <v>19.93</v>
      </c>
      <c r="I15">
        <v>3</v>
      </c>
      <c r="J15" s="10">
        <f>Tabla434[[#This Row],[Columna42]]*$J$2</f>
        <v>18</v>
      </c>
      <c r="K15" s="8"/>
      <c r="L15" s="8">
        <f>Tabla434[[#This Row],[Columna422]]*$L$18/$J$18</f>
        <v>21.603951370608424</v>
      </c>
      <c r="P15" s="2">
        <v>36000</v>
      </c>
      <c r="Q15" s="2">
        <f>Tabla434[[#This Row],[Columna8]]/Tabla434[[#This Row],[Columna4]]</f>
        <v>1806.3221274460611</v>
      </c>
      <c r="R15" s="14" t="e">
        <f>#REF!/36000</f>
        <v>#REF!</v>
      </c>
    </row>
    <row r="16" spans="1:18" x14ac:dyDescent="0.3">
      <c r="A16" s="13" t="s">
        <v>56</v>
      </c>
      <c r="C16" t="s">
        <v>71</v>
      </c>
      <c r="D16" s="15">
        <v>1</v>
      </c>
      <c r="E16" s="15">
        <v>36000</v>
      </c>
      <c r="F16" s="15" t="s">
        <v>75</v>
      </c>
      <c r="G16" s="15">
        <f>Tabla434[[#This Row],[Columna32]]</f>
        <v>1</v>
      </c>
      <c r="H16">
        <v>19.3</v>
      </c>
      <c r="I16">
        <v>3</v>
      </c>
      <c r="J16" s="10">
        <f>Tabla434[[#This Row],[Columna42]]*$J$2</f>
        <v>18</v>
      </c>
      <c r="K16" s="8"/>
      <c r="L16" s="8">
        <f>Tabla434[[#This Row],[Columna422]]*$L$18/$J$18</f>
        <v>21.603951370608424</v>
      </c>
      <c r="P16" s="2">
        <v>36000</v>
      </c>
      <c r="Q16" s="2">
        <f>Tabla434[[#This Row],[Columna8]]/Tabla434[[#This Row],[Columna4]]</f>
        <v>1865.2849740932643</v>
      </c>
      <c r="R16" s="14" t="e">
        <f>#REF!/36000</f>
        <v>#REF!</v>
      </c>
    </row>
    <row r="17" spans="1:18" x14ac:dyDescent="0.3">
      <c r="A17" s="13" t="s">
        <v>57</v>
      </c>
      <c r="C17" t="s">
        <v>71</v>
      </c>
      <c r="D17" s="15">
        <v>1</v>
      </c>
      <c r="E17" s="15">
        <v>48000</v>
      </c>
      <c r="F17" s="15" t="s">
        <v>74</v>
      </c>
      <c r="G17" s="15">
        <f>Tabla434[[#This Row],[Columna32]]</f>
        <v>1</v>
      </c>
      <c r="H17">
        <v>41.37</v>
      </c>
      <c r="I17">
        <v>3</v>
      </c>
      <c r="J17" s="10">
        <f>Tabla434[[#This Row],[Columna42]]*$J$2</f>
        <v>18</v>
      </c>
      <c r="K17" s="8"/>
      <c r="L17" s="8">
        <f>Tabla434[[#This Row],[Columna422]]*$L$18/$J$18</f>
        <v>21.603951370608424</v>
      </c>
      <c r="P17" s="14">
        <v>48000</v>
      </c>
      <c r="Q17" s="14">
        <f>Tabla434[[#This Row],[Columna8]]/Tabla434[[#This Row],[Columna4]]</f>
        <v>1160.2610587382162</v>
      </c>
      <c r="R17" s="14" t="e">
        <f>#REF!/36000</f>
        <v>#REF!</v>
      </c>
    </row>
    <row r="18" spans="1:18" x14ac:dyDescent="0.3">
      <c r="A18" s="13" t="s">
        <v>58</v>
      </c>
      <c r="C18" t="s">
        <v>64</v>
      </c>
      <c r="D18" s="15">
        <v>2</v>
      </c>
      <c r="E18" s="15">
        <v>54000</v>
      </c>
      <c r="F18" s="15" t="s">
        <v>89</v>
      </c>
      <c r="G18" s="15">
        <v>1</v>
      </c>
      <c r="H18">
        <v>95.69</v>
      </c>
      <c r="J18" s="5">
        <f>SUBTOTAL(109,J8:K17)</f>
        <v>433.25407650815305</v>
      </c>
      <c r="K18">
        <f>Tabla434[[#This Row],[Columna422]]*1.1</f>
        <v>476.5794841589684</v>
      </c>
      <c r="L18">
        <v>520</v>
      </c>
      <c r="P18" s="14">
        <f>60000*2</f>
        <v>120000</v>
      </c>
      <c r="Q18" s="14">
        <f>Tabla434[[#This Row],[Columna8]]/Tabla434[[#This Row],[Columna4]]</f>
        <v>1254.0495349566309</v>
      </c>
      <c r="R18" s="14" t="e">
        <f>#REF!/36000</f>
        <v>#REF!</v>
      </c>
    </row>
    <row r="19" spans="1:18" x14ac:dyDescent="0.3">
      <c r="A19" s="13" t="s">
        <v>59</v>
      </c>
      <c r="C19" t="s">
        <v>71</v>
      </c>
      <c r="D19" s="15">
        <v>1</v>
      </c>
      <c r="E19" s="15">
        <v>48000</v>
      </c>
      <c r="F19" s="15" t="s">
        <v>74</v>
      </c>
      <c r="G19" s="15">
        <v>1</v>
      </c>
      <c r="H19">
        <v>39.65</v>
      </c>
      <c r="I19">
        <v>3</v>
      </c>
      <c r="J19" s="10">
        <f>Tabla434[[#This Row],[Columna42]]*$J$2</f>
        <v>18</v>
      </c>
      <c r="K19" s="8"/>
      <c r="L19" s="8"/>
      <c r="P19" s="14">
        <v>48000</v>
      </c>
      <c r="Q19" s="14">
        <f>Tabla434[[#This Row],[Columna8]]/Tabla434[[#This Row],[Columna4]]</f>
        <v>1210.5926860025222</v>
      </c>
      <c r="R19" s="14" t="e">
        <f>#REF!/36000</f>
        <v>#REF!</v>
      </c>
    </row>
    <row r="20" spans="1:18" x14ac:dyDescent="0.3">
      <c r="A20" s="13" t="s">
        <v>60</v>
      </c>
      <c r="C20" t="s">
        <v>64</v>
      </c>
      <c r="D20" s="15">
        <v>2</v>
      </c>
      <c r="E20" s="15">
        <v>54000</v>
      </c>
      <c r="F20" s="15" t="s">
        <v>89</v>
      </c>
      <c r="G20" s="15">
        <v>1</v>
      </c>
      <c r="H20">
        <v>1</v>
      </c>
      <c r="I20">
        <v>3</v>
      </c>
      <c r="J20" s="6">
        <f>Tabla434[[#This Row],[Columna42]]*$J$2</f>
        <v>18</v>
      </c>
      <c r="K20" s="8"/>
      <c r="L20" s="8"/>
      <c r="P20" s="14">
        <f>60000*2</f>
        <v>120000</v>
      </c>
      <c r="Q20" s="14">
        <f>Tabla434[[#This Row],[Columna8]]/Tabla434[[#This Row],[Columna4]]</f>
        <v>120000</v>
      </c>
      <c r="R20" s="14" t="e">
        <f>#REF!/48000</f>
        <v>#REF!</v>
      </c>
    </row>
    <row r="21" spans="1:18" x14ac:dyDescent="0.3">
      <c r="A21" s="13" t="s">
        <v>61</v>
      </c>
      <c r="C21" t="s">
        <v>71</v>
      </c>
      <c r="D21" s="15">
        <v>1</v>
      </c>
      <c r="E21" s="15">
        <v>36000</v>
      </c>
      <c r="F21" s="15" t="s">
        <v>75</v>
      </c>
      <c r="G21" s="15">
        <v>1</v>
      </c>
      <c r="H21">
        <v>24.46</v>
      </c>
      <c r="I21">
        <v>3</v>
      </c>
      <c r="J21" s="6">
        <f>Tabla434[[#This Row],[Columna42]]*$J$2</f>
        <v>18</v>
      </c>
      <c r="K21" s="8"/>
      <c r="L21" s="8"/>
      <c r="P21" s="14">
        <v>36000</v>
      </c>
      <c r="Q21" s="14">
        <f>Tabla434[[#This Row],[Columna8]]/Tabla434[[#This Row],[Columna4]]</f>
        <v>1471.7906786590352</v>
      </c>
      <c r="R21" s="14" t="e">
        <f>#REF!/36000</f>
        <v>#REF!</v>
      </c>
    </row>
    <row r="22" spans="1:18" x14ac:dyDescent="0.3">
      <c r="A22" s="13" t="s">
        <v>62</v>
      </c>
      <c r="C22" t="s">
        <v>71</v>
      </c>
      <c r="D22" s="15">
        <v>1</v>
      </c>
      <c r="E22" s="15">
        <v>36000</v>
      </c>
      <c r="F22" s="15" t="s">
        <v>75</v>
      </c>
      <c r="G22" s="15">
        <v>1</v>
      </c>
      <c r="H22">
        <v>29.86</v>
      </c>
      <c r="I22">
        <v>3</v>
      </c>
      <c r="J22" s="6">
        <f>Tabla434[[#This Row],[Columna42]]*$J$2</f>
        <v>18</v>
      </c>
      <c r="K22" s="8"/>
      <c r="L22" s="8"/>
      <c r="P22" s="14">
        <v>36000</v>
      </c>
      <c r="Q22" s="14">
        <f>Tabla434[[#This Row],[Columna8]]/Tabla434[[#This Row],[Columna4]]</f>
        <v>1205.6262558606832</v>
      </c>
      <c r="R22" s="14" t="e">
        <f>#REF!/36000</f>
        <v>#REF!</v>
      </c>
    </row>
    <row r="23" spans="1:18" x14ac:dyDescent="0.3">
      <c r="A23" s="13" t="s">
        <v>63</v>
      </c>
      <c r="C23" t="s">
        <v>71</v>
      </c>
      <c r="D23" s="15">
        <v>1</v>
      </c>
      <c r="E23" s="15">
        <v>48000</v>
      </c>
      <c r="F23" s="15" t="s">
        <v>74</v>
      </c>
      <c r="G23" s="15">
        <v>1</v>
      </c>
      <c r="H23">
        <v>39.36</v>
      </c>
      <c r="I23">
        <v>3</v>
      </c>
      <c r="J23" s="10">
        <f>Tabla434[[#This Row],[Columna42]]*$J$2</f>
        <v>18</v>
      </c>
      <c r="K23" s="8"/>
      <c r="L23" s="8"/>
      <c r="P23" s="14">
        <v>48000</v>
      </c>
      <c r="Q23" s="14">
        <f>Tabla434[[#This Row],[Columna8]]/Tabla434[[#This Row],[Columna4]]</f>
        <v>1219.5121951219512</v>
      </c>
      <c r="R23" s="14" t="e">
        <f>#REF!/48000</f>
        <v>#REF!</v>
      </c>
    </row>
    <row r="24" spans="1:18" x14ac:dyDescent="0.3">
      <c r="A24" t="s">
        <v>40</v>
      </c>
      <c r="C24" t="s">
        <v>71</v>
      </c>
      <c r="D24" s="15">
        <v>2</v>
      </c>
      <c r="E24" s="15">
        <v>60000</v>
      </c>
      <c r="F24" s="15" t="s">
        <v>73</v>
      </c>
      <c r="G24" s="15">
        <v>2</v>
      </c>
      <c r="H24">
        <v>118.61</v>
      </c>
      <c r="I24">
        <v>3</v>
      </c>
      <c r="J24" s="6">
        <f>Tabla434[[#This Row],[Columna42]]*$J$2</f>
        <v>18</v>
      </c>
      <c r="K24" s="8"/>
      <c r="L24" s="8"/>
      <c r="P24" s="2">
        <f>60000*2</f>
        <v>120000</v>
      </c>
      <c r="Q24" s="2">
        <f>Tabla434[[#This Row],[Columna8]]/Tabla434[[#This Row],[Columna4]]</f>
        <v>1011.7190793356378</v>
      </c>
      <c r="R24" s="2" t="e">
        <f>#REF!/60000</f>
        <v>#REF!</v>
      </c>
    </row>
    <row r="25" spans="1:18" x14ac:dyDescent="0.3">
      <c r="A25" t="s">
        <v>47</v>
      </c>
      <c r="C25" t="s">
        <v>64</v>
      </c>
      <c r="D25" s="15">
        <v>2</v>
      </c>
      <c r="E25" s="15">
        <v>48000</v>
      </c>
      <c r="F25" s="15" t="s">
        <v>72</v>
      </c>
      <c r="G25" s="15">
        <v>1</v>
      </c>
      <c r="H25">
        <v>93.67</v>
      </c>
      <c r="I25">
        <v>3</v>
      </c>
      <c r="J25" s="6">
        <f>Tabla434[[#This Row],[Columna42]]*$J$2</f>
        <v>18</v>
      </c>
      <c r="K25" s="8"/>
      <c r="L25" s="8"/>
      <c r="P25" s="2">
        <f>48000*2</f>
        <v>96000</v>
      </c>
      <c r="Q25" s="2">
        <f>Tabla434[[#This Row],[Columna8]]/Tabla434[[#This Row],[Columna4]]</f>
        <v>1024.8745596242127</v>
      </c>
      <c r="R25" s="2" t="e">
        <f>#REF!/60000</f>
        <v>#REF!</v>
      </c>
    </row>
    <row r="26" spans="1:18" x14ac:dyDescent="0.3">
      <c r="A26" t="s">
        <v>41</v>
      </c>
      <c r="C26" t="s">
        <v>71</v>
      </c>
      <c r="D26" s="15">
        <v>1</v>
      </c>
      <c r="E26" s="15">
        <v>48000</v>
      </c>
      <c r="F26" s="15" t="s">
        <v>74</v>
      </c>
      <c r="G26" s="15">
        <v>1</v>
      </c>
      <c r="H26">
        <v>42.17</v>
      </c>
      <c r="I26">
        <v>3</v>
      </c>
      <c r="J26" s="10">
        <f>Tabla434[[#This Row],[Columna42]]*$J$2</f>
        <v>18</v>
      </c>
      <c r="K26" s="8"/>
      <c r="L26" s="8"/>
      <c r="P26" s="2">
        <v>48000</v>
      </c>
      <c r="Q26" s="2">
        <f>Tabla434[[#This Row],[Columna8]]/Tabla434[[#This Row],[Columna4]]</f>
        <v>1138.2499407161488</v>
      </c>
      <c r="R26" s="2" t="e">
        <f>#REF!/60000</f>
        <v>#REF!</v>
      </c>
    </row>
    <row r="27" spans="1:18" x14ac:dyDescent="0.3">
      <c r="A27" t="s">
        <v>48</v>
      </c>
      <c r="C27" t="s">
        <v>64</v>
      </c>
      <c r="D27" s="15">
        <v>2</v>
      </c>
      <c r="E27" s="15">
        <v>48000</v>
      </c>
      <c r="F27" s="15" t="s">
        <v>72</v>
      </c>
      <c r="G27" s="15">
        <v>1</v>
      </c>
      <c r="H27">
        <v>84.34</v>
      </c>
      <c r="I27">
        <v>3</v>
      </c>
      <c r="J27" s="10">
        <f>Tabla434[[#This Row],[Columna42]]*$J$2</f>
        <v>18</v>
      </c>
      <c r="K27" s="8"/>
      <c r="L27" s="8"/>
      <c r="P27" s="2">
        <f>48000*2</f>
        <v>96000</v>
      </c>
      <c r="Q27" s="2">
        <f>Tabla434[[#This Row],[Columna8]]/Tabla434[[#This Row],[Columna4]]</f>
        <v>1138.2499407161488</v>
      </c>
      <c r="R27" s="2" t="e">
        <f>#REF!/60000</f>
        <v>#REF!</v>
      </c>
    </row>
    <row r="28" spans="1:18" x14ac:dyDescent="0.3">
      <c r="A28" t="s">
        <v>49</v>
      </c>
      <c r="C28" t="s">
        <v>64</v>
      </c>
      <c r="D28" s="15">
        <v>2</v>
      </c>
      <c r="E28" s="15">
        <v>48000</v>
      </c>
      <c r="F28" s="15" t="s">
        <v>72</v>
      </c>
      <c r="G28" s="15">
        <v>1</v>
      </c>
      <c r="H28">
        <v>84.34</v>
      </c>
      <c r="I28">
        <v>3</v>
      </c>
      <c r="J28" s="10">
        <f>Tabla434[[#This Row],[Columna42]]*$J$2</f>
        <v>18</v>
      </c>
      <c r="K28" s="8"/>
      <c r="L28" s="8"/>
      <c r="P28" s="2">
        <f>48000*2</f>
        <v>96000</v>
      </c>
      <c r="Q28" s="2">
        <f>Tabla434[[#This Row],[Columna8]]/Tabla434[[#This Row],[Columna4]]</f>
        <v>1138.2499407161488</v>
      </c>
      <c r="R28" s="2" t="e">
        <f>#REF!/60000</f>
        <v>#REF!</v>
      </c>
    </row>
    <row r="29" spans="1:18" x14ac:dyDescent="0.3">
      <c r="A29" t="s">
        <v>50</v>
      </c>
      <c r="C29" t="s">
        <v>64</v>
      </c>
      <c r="D29" s="15">
        <v>2</v>
      </c>
      <c r="E29" s="15">
        <v>48000</v>
      </c>
      <c r="F29" s="15" t="s">
        <v>72</v>
      </c>
      <c r="G29" s="15">
        <v>1</v>
      </c>
      <c r="H29">
        <v>84.34</v>
      </c>
      <c r="J29" s="10">
        <f>Tabla434[[#This Row],[Columna42]]*$J$2</f>
        <v>0</v>
      </c>
      <c r="K29" s="8">
        <f>Tabla434[[#This Row],[Columna4]]*$K$2</f>
        <v>163.40907681815364</v>
      </c>
      <c r="L29" s="8"/>
      <c r="P29" s="2">
        <f>48000*2</f>
        <v>96000</v>
      </c>
      <c r="Q29" s="2">
        <f>Tabla434[[#This Row],[Columna8]]/Tabla434[[#This Row],[Columna4]]</f>
        <v>1138.2499407161488</v>
      </c>
      <c r="R29" s="2" t="e">
        <f>#REF!/60000</f>
        <v>#REF!</v>
      </c>
    </row>
    <row r="30" spans="1:18" x14ac:dyDescent="0.3">
      <c r="A30" t="s">
        <v>51</v>
      </c>
      <c r="C30" t="s">
        <v>64</v>
      </c>
      <c r="D30" s="15">
        <v>2</v>
      </c>
      <c r="E30" s="15">
        <v>48000</v>
      </c>
      <c r="F30" s="15" t="s">
        <v>72</v>
      </c>
      <c r="G30" s="15">
        <v>1</v>
      </c>
      <c r="H30">
        <v>84.34</v>
      </c>
      <c r="J30" s="5">
        <f>SUBTOTAL(109,J19:K29)</f>
        <v>343.40907681815361</v>
      </c>
      <c r="K30">
        <f>Tabla434[[#This Row],[Columna422]]*1.1</f>
        <v>377.749984499969</v>
      </c>
      <c r="P30" s="2">
        <f>48000*2</f>
        <v>96000</v>
      </c>
      <c r="Q30" s="2">
        <f>Tabla434[[#This Row],[Columna8]]/Tabla434[[#This Row],[Columna4]]</f>
        <v>1138.2499407161488</v>
      </c>
      <c r="R30" s="2" t="e">
        <f>#REF!/60000</f>
        <v>#REF!</v>
      </c>
    </row>
    <row r="31" spans="1:18" x14ac:dyDescent="0.3">
      <c r="I31">
        <v>3</v>
      </c>
      <c r="J31" s="10">
        <f>Tabla434[[#This Row],[Columna42]]*$J$2</f>
        <v>18</v>
      </c>
      <c r="K31" s="8"/>
      <c r="L31" s="8"/>
      <c r="P31" s="2"/>
      <c r="Q31" s="2" t="e">
        <f>Tabla434[[#This Row],[Columna8]]/Tabla434[[#This Row],[Columna4]]</f>
        <v>#DIV/0!</v>
      </c>
      <c r="R31" s="2"/>
    </row>
    <row r="32" spans="1:18" hidden="1" x14ac:dyDescent="0.3">
      <c r="I32">
        <v>3</v>
      </c>
      <c r="J32" s="10">
        <f>Tabla434[[#This Row],[Columna42]]*$J$2</f>
        <v>18</v>
      </c>
      <c r="K32" s="8"/>
      <c r="L32" s="8"/>
      <c r="P32" s="2"/>
      <c r="Q32" s="2" t="e">
        <f>Tabla434[[#This Row],[Columna8]]/Tabla434[[#This Row],[Columna4]]</f>
        <v>#DIV/0!</v>
      </c>
      <c r="R32" s="2"/>
    </row>
    <row r="33" spans="4:18" hidden="1" x14ac:dyDescent="0.3">
      <c r="I33">
        <v>3</v>
      </c>
      <c r="J33" s="10">
        <f>Tabla434[[#This Row],[Columna42]]*$J$2</f>
        <v>18</v>
      </c>
      <c r="K33" s="8"/>
      <c r="L33" s="8"/>
      <c r="P33" s="2"/>
      <c r="Q33" s="2" t="e">
        <f>Tabla434[[#This Row],[Columna8]]/Tabla434[[#This Row],[Columna4]]</f>
        <v>#DIV/0!</v>
      </c>
      <c r="R33" s="2"/>
    </row>
    <row r="34" spans="4:18" hidden="1" x14ac:dyDescent="0.3">
      <c r="I34">
        <v>3</v>
      </c>
      <c r="J34" s="10">
        <f>Tabla434[[#This Row],[Columna42]]*$J$2</f>
        <v>18</v>
      </c>
      <c r="K34" s="8"/>
      <c r="L34" s="8"/>
      <c r="P34" s="2"/>
      <c r="Q34" s="2" t="e">
        <f>Tabla434[[#This Row],[Columna8]]/Tabla434[[#This Row],[Columna4]]</f>
        <v>#DIV/0!</v>
      </c>
      <c r="R34" s="2"/>
    </row>
    <row r="35" spans="4:18" hidden="1" x14ac:dyDescent="0.3">
      <c r="I35">
        <v>3</v>
      </c>
      <c r="J35" s="10">
        <f>Tabla434[[#This Row],[Columna42]]*$J$2</f>
        <v>18</v>
      </c>
      <c r="K35" s="8"/>
      <c r="L35" s="8"/>
      <c r="P35" s="2"/>
      <c r="Q35" s="2" t="e">
        <f>Tabla434[[#This Row],[Columna8]]/Tabla434[[#This Row],[Columna4]]</f>
        <v>#DIV/0!</v>
      </c>
      <c r="R35" s="2"/>
    </row>
    <row r="36" spans="4:18" hidden="1" x14ac:dyDescent="0.3">
      <c r="I36">
        <v>3</v>
      </c>
      <c r="J36" s="10">
        <f>Tabla434[[#This Row],[Columna42]]*$J$2</f>
        <v>18</v>
      </c>
      <c r="K36" s="8"/>
      <c r="L36" s="8"/>
      <c r="P36" s="2"/>
      <c r="Q36" s="2" t="e">
        <f>Tabla434[[#This Row],[Columna8]]/Tabla434[[#This Row],[Columna4]]</f>
        <v>#DIV/0!</v>
      </c>
      <c r="R36" s="2"/>
    </row>
    <row r="37" spans="4:18" hidden="1" x14ac:dyDescent="0.3">
      <c r="I37">
        <v>3</v>
      </c>
      <c r="J37" s="10">
        <f>Tabla434[[#This Row],[Columna42]]*$J$2</f>
        <v>18</v>
      </c>
      <c r="K37" s="8"/>
      <c r="L37" s="8"/>
      <c r="P37" s="2"/>
      <c r="Q37" s="2" t="e">
        <f>Tabla434[[#This Row],[Columna8]]/Tabla434[[#This Row],[Columna4]]</f>
        <v>#DIV/0!</v>
      </c>
      <c r="R37" s="2"/>
    </row>
    <row r="38" spans="4:18" hidden="1" x14ac:dyDescent="0.3">
      <c r="I38">
        <v>3</v>
      </c>
      <c r="J38" s="10">
        <f>Tabla434[[#This Row],[Columna42]]*$J$2</f>
        <v>18</v>
      </c>
      <c r="K38" s="8"/>
      <c r="L38" s="8"/>
      <c r="P38" s="2"/>
      <c r="Q38" s="2" t="e">
        <f>Tabla434[[#This Row],[Columna8]]/Tabla434[[#This Row],[Columna4]]</f>
        <v>#DIV/0!</v>
      </c>
      <c r="R38" s="2"/>
    </row>
    <row r="39" spans="4:18" hidden="1" x14ac:dyDescent="0.3">
      <c r="J39" s="10">
        <f>Tabla434[[#This Row],[Columna42]]*$J$2</f>
        <v>0</v>
      </c>
      <c r="K39" s="8">
        <f>Tabla434[[#This Row],[Columna4]]*$K$2</f>
        <v>0</v>
      </c>
      <c r="L39" s="8"/>
      <c r="P39" s="12"/>
      <c r="Q39" s="2" t="e">
        <f>Tabla434[[#This Row],[Columna8]]/Tabla434[[#This Row],[Columna4]]</f>
        <v>#DIV/0!</v>
      </c>
      <c r="R39" s="2"/>
    </row>
    <row r="40" spans="4:18" hidden="1" x14ac:dyDescent="0.3">
      <c r="J40" s="5">
        <f>SUBTOTAL(109,J23:K39)</f>
        <v>667.15906131812267</v>
      </c>
      <c r="K40">
        <f>Tabla434[[#This Row],[Columna422]]*1.1</f>
        <v>733.87496744993496</v>
      </c>
      <c r="P40" s="2"/>
      <c r="Q40" s="2"/>
      <c r="R40" s="2"/>
    </row>
    <row r="41" spans="4:18" hidden="1" x14ac:dyDescent="0.3">
      <c r="I41">
        <v>12</v>
      </c>
      <c r="J41" s="10">
        <f>Tabla434[[#This Row],[Columna42]]*$J$2</f>
        <v>72</v>
      </c>
      <c r="K41" s="8"/>
      <c r="L41" s="8"/>
      <c r="P41" s="12"/>
      <c r="Q41" s="2" t="e">
        <f>Tabla434[[#This Row],[Columna8]]/Tabla434[[#This Row],[Columna4]]</f>
        <v>#DIV/0!</v>
      </c>
      <c r="R41" s="2"/>
    </row>
    <row r="42" spans="4:18" hidden="1" x14ac:dyDescent="0.3">
      <c r="I42">
        <v>3</v>
      </c>
      <c r="J42" s="10">
        <f>Tabla434[[#This Row],[Columna42]]*$J$2</f>
        <v>18</v>
      </c>
      <c r="K42" s="8"/>
      <c r="L42" s="8"/>
      <c r="P42" s="2"/>
      <c r="Q42" s="2" t="e">
        <f>Tabla434[[#This Row],[Columna8]]/Tabla434[[#This Row],[Columna4]]</f>
        <v>#DIV/0!</v>
      </c>
      <c r="R42" s="2"/>
    </row>
    <row r="43" spans="4:18" hidden="1" x14ac:dyDescent="0.3">
      <c r="J43" s="10">
        <f>Tabla434[[#This Row],[Columna42]]*$J$2</f>
        <v>0</v>
      </c>
      <c r="K43" s="8">
        <f>Tabla434[[#This Row],[Columna4]]*$K$2</f>
        <v>0</v>
      </c>
      <c r="L43" s="8"/>
      <c r="P43" s="2"/>
      <c r="Q43" s="2" t="e">
        <f>Tabla434[[#This Row],[Columna8]]/Tabla434[[#This Row],[Columna4]]</f>
        <v>#DIV/0!</v>
      </c>
      <c r="R43" s="2"/>
    </row>
    <row r="44" spans="4:18" hidden="1" x14ac:dyDescent="0.3">
      <c r="I44">
        <v>15</v>
      </c>
      <c r="J44" s="10">
        <f>Tabla434[[#This Row],[Columna42]]*$J$2</f>
        <v>90</v>
      </c>
      <c r="K44" s="8"/>
      <c r="L44" s="8"/>
      <c r="P44" s="2"/>
      <c r="Q44" s="2" t="e">
        <f>Tabla434[[#This Row],[Columna8]]/Tabla434[[#This Row],[Columna4]]</f>
        <v>#DIV/0!</v>
      </c>
      <c r="R44" s="2"/>
    </row>
    <row r="45" spans="4:18" hidden="1" x14ac:dyDescent="0.3">
      <c r="I45">
        <v>8</v>
      </c>
      <c r="J45" s="10">
        <f>Tabla434[[#This Row],[Columna42]]*$J$2</f>
        <v>48</v>
      </c>
      <c r="K45" s="8"/>
      <c r="L45" s="8"/>
      <c r="P45" s="2"/>
      <c r="Q45" s="2" t="e">
        <f>Tabla434[[#This Row],[Columna8]]/Tabla434[[#This Row],[Columna4]]</f>
        <v>#DIV/0!</v>
      </c>
      <c r="R45" s="2"/>
    </row>
    <row r="46" spans="4:18" hidden="1" x14ac:dyDescent="0.3">
      <c r="J46" s="10">
        <f>Tabla434[[#This Row],[Columna42]]*$J$2</f>
        <v>0</v>
      </c>
      <c r="K46" s="8">
        <f>Tabla434[[#This Row],[Columna4]]*$K$2</f>
        <v>0</v>
      </c>
      <c r="L46" s="8"/>
      <c r="P46" s="2"/>
      <c r="Q46" s="2" t="e">
        <f>Tabla434[[#This Row],[Columna8]]/Tabla434[[#This Row],[Columna4]]</f>
        <v>#DIV/0!</v>
      </c>
      <c r="R46" s="2">
        <v>36000</v>
      </c>
    </row>
    <row r="47" spans="4:18" hidden="1" x14ac:dyDescent="0.3">
      <c r="J47" s="5">
        <f>SUBTOTAL(109,J41:K46)</f>
        <v>0</v>
      </c>
      <c r="K47">
        <f>Tabla434[[#Totals],[Columna422]]*1.1</f>
        <v>0</v>
      </c>
      <c r="P47" s="2"/>
      <c r="Q47" s="2"/>
    </row>
    <row r="48" spans="4:18" x14ac:dyDescent="0.3">
      <c r="D48">
        <f>SUM(D7:D47)</f>
        <v>40</v>
      </c>
      <c r="G48">
        <f>SUM(G7:G47)</f>
        <v>28</v>
      </c>
    </row>
    <row r="49" spans="1:7" x14ac:dyDescent="0.3">
      <c r="C49" s="21" t="s">
        <v>88</v>
      </c>
      <c r="F49" s="20" t="s">
        <v>87</v>
      </c>
    </row>
    <row r="50" spans="1:7" x14ac:dyDescent="0.3">
      <c r="A50" s="18" t="s">
        <v>71</v>
      </c>
      <c r="C50" s="15" t="s">
        <v>78</v>
      </c>
      <c r="D50" s="19">
        <f>D15+D16+D21+D22</f>
        <v>4</v>
      </c>
      <c r="F50" s="18" t="s">
        <v>84</v>
      </c>
      <c r="G50" s="19">
        <f>G15+G16+G21+G22</f>
        <v>4</v>
      </c>
    </row>
    <row r="51" spans="1:7" x14ac:dyDescent="0.3">
      <c r="A51" s="18" t="s">
        <v>71</v>
      </c>
      <c r="C51" s="15" t="s">
        <v>79</v>
      </c>
      <c r="D51" s="19">
        <f>D26+D23+D19+D17+D14+D13+D12+D11+D10</f>
        <v>12</v>
      </c>
      <c r="F51" s="18" t="s">
        <v>85</v>
      </c>
      <c r="G51" s="19">
        <f>G10+G11+G12+G13+G14+G17+G19+G23+G26</f>
        <v>12</v>
      </c>
    </row>
    <row r="52" spans="1:7" x14ac:dyDescent="0.3">
      <c r="A52" s="18" t="s">
        <v>71</v>
      </c>
      <c r="C52" s="15" t="s">
        <v>80</v>
      </c>
      <c r="D52" s="19">
        <f>D24</f>
        <v>2</v>
      </c>
      <c r="F52" s="18" t="s">
        <v>86</v>
      </c>
      <c r="G52" s="19">
        <v>2</v>
      </c>
    </row>
    <row r="53" spans="1:7" x14ac:dyDescent="0.3">
      <c r="A53" s="18" t="s">
        <v>64</v>
      </c>
      <c r="C53" s="15" t="s">
        <v>81</v>
      </c>
      <c r="D53" s="19">
        <f>D8</f>
        <v>1</v>
      </c>
      <c r="F53" s="18" t="s">
        <v>77</v>
      </c>
      <c r="G53" s="19">
        <v>1</v>
      </c>
    </row>
    <row r="54" spans="1:7" x14ac:dyDescent="0.3">
      <c r="A54" s="18" t="s">
        <v>64</v>
      </c>
      <c r="C54" s="15" t="s">
        <v>82</v>
      </c>
      <c r="D54" s="19">
        <f>D7+D9</f>
        <v>7</v>
      </c>
      <c r="F54" s="18" t="s">
        <v>83</v>
      </c>
      <c r="G54" s="19">
        <f>G7</f>
        <v>2</v>
      </c>
    </row>
    <row r="55" spans="1:7" x14ac:dyDescent="0.3">
      <c r="A55" s="18" t="s">
        <v>64</v>
      </c>
      <c r="C55" s="15" t="s">
        <v>90</v>
      </c>
      <c r="D55" s="19">
        <f>D25+D27+D28+D29+D30</f>
        <v>10</v>
      </c>
      <c r="F55" s="18" t="s">
        <v>72</v>
      </c>
      <c r="G55" s="19">
        <f>G25+G27+G28+G29+G30</f>
        <v>5</v>
      </c>
    </row>
    <row r="56" spans="1:7" x14ac:dyDescent="0.3">
      <c r="A56" s="18" t="s">
        <v>64</v>
      </c>
      <c r="C56" s="15" t="s">
        <v>92</v>
      </c>
      <c r="D56" s="19">
        <f>D18+D20</f>
        <v>4</v>
      </c>
      <c r="F56" s="18" t="s">
        <v>91</v>
      </c>
      <c r="G56" s="19">
        <v>2</v>
      </c>
    </row>
  </sheetData>
  <pageMargins left="0.7" right="0.7" top="0.38" bottom="0.28999999999999998" header="0.3" footer="0.3"/>
  <pageSetup paperSize="9" scale="98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B643-496A-40E7-8DE0-53AB4A995537}">
  <sheetPr>
    <pageSetUpPr fitToPage="1"/>
  </sheetPr>
  <dimension ref="A1:Q53"/>
  <sheetViews>
    <sheetView view="pageBreakPreview" zoomScale="90" zoomScaleNormal="100" zoomScaleSheetLayoutView="9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L8" sqref="L8"/>
    </sheetView>
  </sheetViews>
  <sheetFormatPr baseColWidth="10" defaultRowHeight="14.4" x14ac:dyDescent="0.3"/>
  <cols>
    <col min="1" max="1" width="22.44140625" customWidth="1"/>
    <col min="2" max="2" width="0" hidden="1" customWidth="1"/>
    <col min="3" max="3" width="9.6640625" customWidth="1"/>
    <col min="4" max="4" width="11.6640625" customWidth="1"/>
    <col min="5" max="5" width="5.33203125" hidden="1" customWidth="1"/>
    <col min="6" max="6" width="8" hidden="1" customWidth="1"/>
    <col min="7" max="8" width="8.21875" hidden="1" customWidth="1"/>
    <col min="9" max="10" width="4.77734375" hidden="1" customWidth="1"/>
    <col min="11" max="11" width="5" hidden="1" customWidth="1"/>
    <col min="12" max="14" width="11.6640625" customWidth="1"/>
    <col min="15" max="15" width="13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25</v>
      </c>
      <c r="G1" t="s">
        <v>27</v>
      </c>
      <c r="H1" t="s">
        <v>30</v>
      </c>
      <c r="I1" t="s">
        <v>18</v>
      </c>
      <c r="J1" t="s">
        <v>19</v>
      </c>
      <c r="K1" t="s">
        <v>21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29</v>
      </c>
    </row>
    <row r="2" spans="1:17" x14ac:dyDescent="0.3">
      <c r="B2" t="s">
        <v>9</v>
      </c>
      <c r="D2" t="s">
        <v>10</v>
      </c>
      <c r="F2" s="10">
        <v>6</v>
      </c>
      <c r="G2" s="8">
        <f>0.18/(0.3048*0.3048)</f>
        <v>1.9375038750077498</v>
      </c>
      <c r="H2" s="8"/>
      <c r="I2">
        <v>20</v>
      </c>
      <c r="J2">
        <v>42.377600000000001</v>
      </c>
      <c r="K2">
        <v>72</v>
      </c>
      <c r="L2" s="1" t="s">
        <v>11</v>
      </c>
      <c r="M2" s="1"/>
      <c r="N2" t="s">
        <v>12</v>
      </c>
      <c r="O2" t="s">
        <v>12</v>
      </c>
      <c r="P2" s="2" t="s">
        <v>11</v>
      </c>
      <c r="Q2" s="2"/>
    </row>
    <row r="3" spans="1:17" ht="25.2" customHeight="1" x14ac:dyDescent="0.3">
      <c r="B3" t="s">
        <v>13</v>
      </c>
      <c r="C3" t="s">
        <v>13</v>
      </c>
      <c r="D3" t="s">
        <v>14</v>
      </c>
      <c r="E3" s="7" t="s">
        <v>24</v>
      </c>
      <c r="F3" s="11" t="s">
        <v>26</v>
      </c>
      <c r="G3" s="9" t="s">
        <v>28</v>
      </c>
      <c r="H3" s="9"/>
      <c r="I3" s="7" t="s">
        <v>23</v>
      </c>
      <c r="J3" t="s">
        <v>20</v>
      </c>
      <c r="K3" t="s">
        <v>22</v>
      </c>
      <c r="L3" s="6">
        <v>1207</v>
      </c>
      <c r="M3" s="6">
        <v>1000</v>
      </c>
      <c r="N3" s="6">
        <v>850</v>
      </c>
      <c r="O3" s="3" t="s">
        <v>15</v>
      </c>
      <c r="P3" s="4" t="s">
        <v>16</v>
      </c>
      <c r="Q3" s="2"/>
    </row>
    <row r="4" spans="1:17" x14ac:dyDescent="0.3">
      <c r="B4">
        <v>0</v>
      </c>
      <c r="F4" s="10"/>
      <c r="G4" s="8"/>
      <c r="H4" s="8"/>
      <c r="L4" s="2">
        <f t="shared" ref="L4:L6" si="0">D4*$L$3</f>
        <v>0</v>
      </c>
      <c r="M4" s="2">
        <f t="shared" ref="M4:M6" si="1">D4*$M$3</f>
        <v>0</v>
      </c>
      <c r="N4" s="2">
        <f t="shared" ref="N4:N6" si="2">D4*$N$3</f>
        <v>0</v>
      </c>
      <c r="O4" s="2"/>
      <c r="P4" s="2" t="e">
        <f>Tabla4[[#This Row],[Columna8]]/Tabla4[[#This Row],[Columna4]]</f>
        <v>#DIV/0!</v>
      </c>
      <c r="Q4" s="2"/>
    </row>
    <row r="5" spans="1:17" x14ac:dyDescent="0.3">
      <c r="F5" s="10"/>
      <c r="G5" s="8"/>
      <c r="H5" s="8"/>
      <c r="L5" s="2">
        <f t="shared" si="0"/>
        <v>0</v>
      </c>
      <c r="M5" s="2">
        <f t="shared" si="1"/>
        <v>0</v>
      </c>
      <c r="N5" s="2">
        <f t="shared" si="2"/>
        <v>0</v>
      </c>
      <c r="O5" s="2"/>
      <c r="P5" s="2" t="e">
        <f>Tabla4[[#This Row],[Columna8]]/Tabla4[[#This Row],[Columna4]]</f>
        <v>#DIV/0!</v>
      </c>
      <c r="Q5" s="2"/>
    </row>
    <row r="6" spans="1:17" x14ac:dyDescent="0.3">
      <c r="B6">
        <v>0</v>
      </c>
      <c r="F6" s="10"/>
      <c r="G6" s="8"/>
      <c r="H6" s="8"/>
      <c r="L6" s="2">
        <f t="shared" si="0"/>
        <v>0</v>
      </c>
      <c r="M6" s="2">
        <f t="shared" si="1"/>
        <v>0</v>
      </c>
      <c r="N6" s="2">
        <f t="shared" si="2"/>
        <v>0</v>
      </c>
      <c r="O6" s="2"/>
      <c r="P6" s="2" t="e">
        <f>Tabla4[[#This Row],[Columna8]]/Tabla4[[#This Row],[Columna4]]</f>
        <v>#DIV/0!</v>
      </c>
      <c r="Q6" s="2"/>
    </row>
    <row r="7" spans="1:17" x14ac:dyDescent="0.3">
      <c r="A7" t="s">
        <v>31</v>
      </c>
      <c r="D7">
        <v>586.48</v>
      </c>
      <c r="F7" s="10"/>
      <c r="G7" s="8"/>
      <c r="H7" s="8"/>
      <c r="L7" s="2">
        <f>D7*$L$3</f>
        <v>707881.36</v>
      </c>
      <c r="M7" s="2">
        <f>D7*$M$3</f>
        <v>586480</v>
      </c>
      <c r="N7" s="2">
        <f>D7*$N$3</f>
        <v>498508</v>
      </c>
      <c r="O7" s="2">
        <f>96000*6</f>
        <v>576000</v>
      </c>
      <c r="P7" s="2">
        <f>Tabla4[[#This Row],[Columna8]]/Tabla4[[#This Row],[Columna4]]</f>
        <v>982.13067794298183</v>
      </c>
      <c r="Q7" s="2">
        <f>Tabla4[[#This Row],[Columna6]]/60000</f>
        <v>9.7746666666666666</v>
      </c>
    </row>
    <row r="8" spans="1:17" x14ac:dyDescent="0.3">
      <c r="A8" t="s">
        <v>43</v>
      </c>
      <c r="D8">
        <v>150.19999999999999</v>
      </c>
      <c r="E8">
        <v>30</v>
      </c>
      <c r="F8" s="10">
        <f>Tabla4[[#This Row],[Columna42]]*$F$2</f>
        <v>180</v>
      </c>
      <c r="G8" s="8"/>
      <c r="H8" s="8">
        <f>Tabla4[[#This Row],[Columna422]]*H17/F17</f>
        <v>216.03951370608425</v>
      </c>
      <c r="I8">
        <f>Tabla4[[#This Row],[Columna42]]*$I$2</f>
        <v>600</v>
      </c>
      <c r="J8">
        <f>Tabla4[[#This Row],[Columna42]]*$J$2</f>
        <v>1271.328</v>
      </c>
      <c r="K8">
        <f>Tabla4[[#This Row],[Columna42]]*$K$2</f>
        <v>2160</v>
      </c>
      <c r="L8" s="2">
        <f t="shared" ref="L8:L36" si="3">D8*$L$3</f>
        <v>181291.4</v>
      </c>
      <c r="M8" s="2">
        <f t="shared" ref="M8:M36" si="4">D8*$M$3</f>
        <v>150200</v>
      </c>
      <c r="N8" s="2">
        <f t="shared" ref="N8:N36" si="5">D8*$N$3</f>
        <v>127669.99999999999</v>
      </c>
      <c r="O8" s="2">
        <f>70000+90000</f>
        <v>160000</v>
      </c>
      <c r="P8" s="2">
        <f>Tabla4[[#This Row],[Columna8]]/Tabla4[[#This Row],[Columna4]]</f>
        <v>1065.2463382157125</v>
      </c>
      <c r="Q8" s="2">
        <f>Tabla4[[#This Row],[Columna6]]/60000</f>
        <v>2.5033333333333334</v>
      </c>
    </row>
    <row r="9" spans="1:17" x14ac:dyDescent="0.3">
      <c r="A9" t="s">
        <v>35</v>
      </c>
      <c r="D9">
        <v>42.13</v>
      </c>
      <c r="F9" s="10"/>
      <c r="G9" s="8"/>
      <c r="H9" s="8"/>
      <c r="L9" s="2">
        <f t="shared" si="3"/>
        <v>50850.91</v>
      </c>
      <c r="M9" s="2">
        <f t="shared" si="4"/>
        <v>42130</v>
      </c>
      <c r="N9" s="2">
        <f t="shared" si="5"/>
        <v>35810.5</v>
      </c>
      <c r="O9" s="2">
        <v>48000</v>
      </c>
      <c r="P9" s="2">
        <f>Tabla4[[#This Row],[Columna8]]/Tabla4[[#This Row],[Columna4]]</f>
        <v>1139.3306432470922</v>
      </c>
      <c r="Q9" s="2">
        <f>Tabla4[[#This Row],[Columna6]]/60000</f>
        <v>0.70216666666666672</v>
      </c>
    </row>
    <row r="10" spans="1:17" x14ac:dyDescent="0.3">
      <c r="A10" t="s">
        <v>44</v>
      </c>
      <c r="D10">
        <v>84.26</v>
      </c>
      <c r="F10" s="10">
        <f>Tabla4[[#This Row],[Columna42]]*$F$2</f>
        <v>0</v>
      </c>
      <c r="G10" s="8">
        <f>Tabla4[[#This Row],[Columna4]]*$G$2</f>
        <v>163.25407650815302</v>
      </c>
      <c r="H10" s="8">
        <f>Tabla4[[#This Row],[Columna423]]*$H$17/$F$17</f>
        <v>195.94072944087358</v>
      </c>
      <c r="L10" s="2">
        <f t="shared" si="3"/>
        <v>101701.82</v>
      </c>
      <c r="M10" s="2">
        <f t="shared" si="4"/>
        <v>84260</v>
      </c>
      <c r="N10" s="2">
        <f t="shared" si="5"/>
        <v>71621</v>
      </c>
      <c r="O10" s="2">
        <f>36000*3</f>
        <v>108000</v>
      </c>
      <c r="P10" s="2">
        <f>Tabla4[[#This Row],[Columna8]]/Tabla4[[#This Row],[Columna4]]</f>
        <v>1281.7469736529788</v>
      </c>
      <c r="Q10" s="2">
        <f>Tabla4[[#This Row],[Columna6]]/60000</f>
        <v>1.4043333333333334</v>
      </c>
    </row>
    <row r="11" spans="1:17" x14ac:dyDescent="0.3">
      <c r="A11" t="s">
        <v>45</v>
      </c>
      <c r="D11">
        <v>84.26</v>
      </c>
      <c r="E11">
        <v>3</v>
      </c>
      <c r="F11" s="10">
        <f>Tabla4[[#This Row],[Columna42]]*$F$2</f>
        <v>18</v>
      </c>
      <c r="G11" s="8"/>
      <c r="H11" s="8">
        <f>Tabla4[[#This Row],[Columna422]]*$H$17/$F$17</f>
        <v>21.603951370608424</v>
      </c>
      <c r="L11" s="2">
        <f t="shared" si="3"/>
        <v>101701.82</v>
      </c>
      <c r="M11" s="2">
        <f t="shared" si="4"/>
        <v>84260</v>
      </c>
      <c r="N11" s="2">
        <f t="shared" si="5"/>
        <v>71621</v>
      </c>
      <c r="O11" s="2">
        <f>36000*3</f>
        <v>108000</v>
      </c>
      <c r="P11" s="2">
        <f>Tabla4[[#This Row],[Columna8]]/Tabla4[[#This Row],[Columna4]]</f>
        <v>1281.7469736529788</v>
      </c>
      <c r="Q11" s="2">
        <f>Tabla4[[#This Row],[Columna6]]/60000</f>
        <v>1.4043333333333334</v>
      </c>
    </row>
    <row r="12" spans="1:17" x14ac:dyDescent="0.3">
      <c r="A12" t="s">
        <v>46</v>
      </c>
      <c r="D12">
        <v>86.99</v>
      </c>
      <c r="E12">
        <v>3</v>
      </c>
      <c r="F12" s="10">
        <f>Tabla4[[#This Row],[Columna42]]*$F$2</f>
        <v>18</v>
      </c>
      <c r="G12" s="8"/>
      <c r="H12" s="8">
        <f>Tabla4[[#This Row],[Columna422]]*$H$17/$F$17</f>
        <v>21.603951370608424</v>
      </c>
      <c r="L12" s="2">
        <f t="shared" si="3"/>
        <v>104996.93</v>
      </c>
      <c r="M12" s="2">
        <f t="shared" si="4"/>
        <v>86990</v>
      </c>
      <c r="N12" s="2">
        <f t="shared" si="5"/>
        <v>73941.5</v>
      </c>
      <c r="O12" s="2">
        <f>48000*2</f>
        <v>96000</v>
      </c>
      <c r="P12" s="2">
        <f>Tabla4[[#This Row],[Columna8]]/Tabla4[[#This Row],[Columna4]]</f>
        <v>1103.5751235774228</v>
      </c>
      <c r="Q12" s="2">
        <f>Tabla4[[#This Row],[Columna6]]/60000</f>
        <v>1.4498333333333333</v>
      </c>
    </row>
    <row r="13" spans="1:17" x14ac:dyDescent="0.3">
      <c r="A13" t="s">
        <v>38</v>
      </c>
      <c r="D13">
        <v>39.33</v>
      </c>
      <c r="F13" s="10">
        <f>Tabla4[[#This Row],[Columna42]]*$F$2</f>
        <v>0</v>
      </c>
      <c r="G13" s="8"/>
      <c r="H13" s="8">
        <f>Tabla4[[#This Row],[Columna422]]*$H$17/$F$17</f>
        <v>0</v>
      </c>
      <c r="L13" s="2">
        <f t="shared" si="3"/>
        <v>47471.31</v>
      </c>
      <c r="M13" s="2">
        <f t="shared" si="4"/>
        <v>39330</v>
      </c>
      <c r="N13" s="2">
        <f t="shared" si="5"/>
        <v>33430.5</v>
      </c>
      <c r="O13" s="2">
        <v>48000</v>
      </c>
      <c r="P13" s="2">
        <f>Tabla4[[#This Row],[Columna8]]/Tabla4[[#This Row],[Columna4]]</f>
        <v>1220.4424103737606</v>
      </c>
      <c r="Q13" s="2">
        <f>Tabla4[[#This Row],[Columna6]]/60000</f>
        <v>0.65549999999999997</v>
      </c>
    </row>
    <row r="14" spans="1:17" x14ac:dyDescent="0.3">
      <c r="A14" s="13" t="s">
        <v>39</v>
      </c>
      <c r="D14">
        <v>19.93</v>
      </c>
      <c r="E14">
        <v>3</v>
      </c>
      <c r="F14" s="10">
        <f>Tabla4[[#This Row],[Columna42]]*$F$2</f>
        <v>18</v>
      </c>
      <c r="G14" s="8"/>
      <c r="H14" s="8">
        <f>Tabla4[[#This Row],[Columna422]]*$H$17/$F$17</f>
        <v>21.603951370608424</v>
      </c>
      <c r="L14" s="14">
        <f t="shared" si="3"/>
        <v>24055.51</v>
      </c>
      <c r="M14" s="2">
        <f t="shared" si="4"/>
        <v>19930</v>
      </c>
      <c r="N14" s="2">
        <f t="shared" si="5"/>
        <v>16940.5</v>
      </c>
      <c r="O14" s="2">
        <v>36000</v>
      </c>
      <c r="P14" s="2">
        <f>Tabla4[[#This Row],[Columna8]]/Tabla4[[#This Row],[Columna4]]</f>
        <v>1806.3221274460611</v>
      </c>
      <c r="Q14" s="14">
        <f>Tabla4[[#This Row],[Columna5]]/36000</f>
        <v>0.66820861111111107</v>
      </c>
    </row>
    <row r="15" spans="1:17" x14ac:dyDescent="0.3">
      <c r="A15" s="13" t="s">
        <v>31</v>
      </c>
      <c r="D15">
        <v>19.3</v>
      </c>
      <c r="E15">
        <v>3</v>
      </c>
      <c r="F15" s="10">
        <f>Tabla4[[#This Row],[Columna42]]*$F$2</f>
        <v>18</v>
      </c>
      <c r="G15" s="8"/>
      <c r="H15" s="8">
        <f>Tabla4[[#This Row],[Columna422]]*$H$17/$F$17</f>
        <v>21.603951370608424</v>
      </c>
      <c r="L15" s="14">
        <f t="shared" si="3"/>
        <v>23295.100000000002</v>
      </c>
      <c r="M15" s="2">
        <f t="shared" si="4"/>
        <v>19300</v>
      </c>
      <c r="N15" s="2">
        <f t="shared" si="5"/>
        <v>16405</v>
      </c>
      <c r="O15" s="2">
        <v>36000</v>
      </c>
      <c r="P15" s="2">
        <f>Tabla4[[#This Row],[Columna8]]/Tabla4[[#This Row],[Columna4]]</f>
        <v>1865.2849740932643</v>
      </c>
      <c r="Q15" s="14">
        <f>Tabla4[[#This Row],[Columna5]]/36000</f>
        <v>0.64708611111111114</v>
      </c>
    </row>
    <row r="16" spans="1:17" x14ac:dyDescent="0.3">
      <c r="A16" s="13" t="s">
        <v>32</v>
      </c>
      <c r="D16">
        <v>41.37</v>
      </c>
      <c r="E16">
        <v>3</v>
      </c>
      <c r="F16" s="10">
        <f>Tabla4[[#This Row],[Columna42]]*$F$2</f>
        <v>18</v>
      </c>
      <c r="G16" s="8"/>
      <c r="H16" s="8">
        <f>Tabla4[[#This Row],[Columna422]]*$H$17/$F$17</f>
        <v>21.603951370608424</v>
      </c>
      <c r="L16" s="14">
        <f t="shared" si="3"/>
        <v>49933.59</v>
      </c>
      <c r="M16" s="2">
        <f t="shared" si="4"/>
        <v>41370</v>
      </c>
      <c r="N16" s="2">
        <f t="shared" si="5"/>
        <v>35164.5</v>
      </c>
      <c r="O16" s="14">
        <v>48000</v>
      </c>
      <c r="P16" s="14">
        <f>Tabla4[[#This Row],[Columna8]]/Tabla4[[#This Row],[Columna4]]</f>
        <v>1160.2610587382162</v>
      </c>
      <c r="Q16" s="14">
        <f>Tabla4[[#This Row],[Columna5]]/36000</f>
        <v>1.3870441666666666</v>
      </c>
    </row>
    <row r="17" spans="1:17" x14ac:dyDescent="0.3">
      <c r="A17" s="13" t="s">
        <v>33</v>
      </c>
      <c r="D17">
        <v>95.69</v>
      </c>
      <c r="F17" s="5">
        <f>SUBTOTAL(109,F8:G16)</f>
        <v>433.25407650815305</v>
      </c>
      <c r="G17">
        <f>Tabla4[[#This Row],[Columna422]]*1.1</f>
        <v>476.5794841589684</v>
      </c>
      <c r="H17">
        <v>520</v>
      </c>
      <c r="L17" s="14">
        <f t="shared" si="3"/>
        <v>115497.83</v>
      </c>
      <c r="M17" s="2">
        <f t="shared" si="4"/>
        <v>95690</v>
      </c>
      <c r="N17" s="2">
        <f t="shared" si="5"/>
        <v>81336.5</v>
      </c>
      <c r="O17" s="14">
        <f>60000*2</f>
        <v>120000</v>
      </c>
      <c r="P17" s="14">
        <f>Tabla4[[#This Row],[Columna8]]/Tabla4[[#This Row],[Columna4]]</f>
        <v>1254.0495349566309</v>
      </c>
      <c r="Q17" s="14">
        <f>Tabla4[[#This Row],[Columna5]]/36000</f>
        <v>3.2082730555555554</v>
      </c>
    </row>
    <row r="18" spans="1:17" x14ac:dyDescent="0.3">
      <c r="A18" s="13" t="s">
        <v>34</v>
      </c>
      <c r="D18">
        <v>39.65</v>
      </c>
      <c r="E18">
        <v>3</v>
      </c>
      <c r="F18" s="10">
        <f>Tabla4[[#This Row],[Columna42]]*$F$2</f>
        <v>18</v>
      </c>
      <c r="G18" s="8"/>
      <c r="H18" s="8"/>
      <c r="L18" s="14">
        <f t="shared" si="3"/>
        <v>47857.549999999996</v>
      </c>
      <c r="M18" s="2">
        <f t="shared" si="4"/>
        <v>39650</v>
      </c>
      <c r="N18" s="2">
        <f t="shared" si="5"/>
        <v>33702.5</v>
      </c>
      <c r="O18" s="14">
        <v>48000</v>
      </c>
      <c r="P18" s="14">
        <f>Tabla4[[#This Row],[Columna8]]/Tabla4[[#This Row],[Columna4]]</f>
        <v>1210.5926860025222</v>
      </c>
      <c r="Q18" s="14">
        <f>Tabla4[[#This Row],[Columna5]]/36000</f>
        <v>1.3293763888888888</v>
      </c>
    </row>
    <row r="19" spans="1:17" x14ac:dyDescent="0.3">
      <c r="A19" s="13" t="s">
        <v>35</v>
      </c>
      <c r="D19">
        <v>105.82</v>
      </c>
      <c r="E19">
        <v>3</v>
      </c>
      <c r="F19" s="6">
        <f>Tabla4[[#This Row],[Columna42]]*$F$2</f>
        <v>18</v>
      </c>
      <c r="G19" s="8"/>
      <c r="H19" s="8"/>
      <c r="L19" s="14">
        <f t="shared" si="3"/>
        <v>127724.73999999999</v>
      </c>
      <c r="M19" s="2">
        <f t="shared" si="4"/>
        <v>105820</v>
      </c>
      <c r="N19" s="2">
        <f t="shared" si="5"/>
        <v>89947</v>
      </c>
      <c r="O19" s="14">
        <f>48000*3</f>
        <v>144000</v>
      </c>
      <c r="P19" s="14">
        <f>Tabla4[[#This Row],[Columna8]]/Tabla4[[#This Row],[Columna4]]</f>
        <v>1360.8013608013609</v>
      </c>
      <c r="Q19" s="14">
        <f>Tabla4[[#This Row],[Columna5]]/48000</f>
        <v>2.660932083333333</v>
      </c>
    </row>
    <row r="20" spans="1:17" x14ac:dyDescent="0.3">
      <c r="A20" s="13" t="s">
        <v>36</v>
      </c>
      <c r="D20">
        <v>24.46</v>
      </c>
      <c r="E20">
        <v>3</v>
      </c>
      <c r="F20" s="6">
        <f>Tabla4[[#This Row],[Columna42]]*$F$2</f>
        <v>18</v>
      </c>
      <c r="G20" s="8"/>
      <c r="H20" s="8"/>
      <c r="L20" s="14">
        <f t="shared" si="3"/>
        <v>29523.22</v>
      </c>
      <c r="M20" s="2">
        <f t="shared" si="4"/>
        <v>24460</v>
      </c>
      <c r="N20" s="2">
        <f t="shared" si="5"/>
        <v>20791</v>
      </c>
      <c r="O20" s="14">
        <v>36000</v>
      </c>
      <c r="P20" s="14">
        <f>Tabla4[[#This Row],[Columna8]]/Tabla4[[#This Row],[Columna4]]</f>
        <v>1471.7906786590352</v>
      </c>
      <c r="Q20" s="14">
        <f>Tabla4[[#This Row],[Columna5]]/36000</f>
        <v>0.82008944444444443</v>
      </c>
    </row>
    <row r="21" spans="1:17" x14ac:dyDescent="0.3">
      <c r="A21" s="13" t="s">
        <v>37</v>
      </c>
      <c r="D21">
        <v>29.86</v>
      </c>
      <c r="E21">
        <v>3</v>
      </c>
      <c r="F21" s="6">
        <f>Tabla4[[#This Row],[Columna42]]*$F$2</f>
        <v>18</v>
      </c>
      <c r="G21" s="8"/>
      <c r="H21" s="8"/>
      <c r="L21" s="14">
        <f t="shared" si="3"/>
        <v>36041.019999999997</v>
      </c>
      <c r="M21" s="2">
        <f t="shared" si="4"/>
        <v>29860</v>
      </c>
      <c r="N21" s="2">
        <f t="shared" si="5"/>
        <v>25381</v>
      </c>
      <c r="O21" s="14">
        <v>36000</v>
      </c>
      <c r="P21" s="14">
        <f>Tabla4[[#This Row],[Columna8]]/Tabla4[[#This Row],[Columna4]]</f>
        <v>1205.6262558606832</v>
      </c>
      <c r="Q21" s="14">
        <f>Tabla4[[#This Row],[Columna5]]/36000</f>
        <v>1.0011394444444444</v>
      </c>
    </row>
    <row r="22" spans="1:17" x14ac:dyDescent="0.3">
      <c r="A22" s="13" t="s">
        <v>42</v>
      </c>
      <c r="D22">
        <v>39.36</v>
      </c>
      <c r="E22">
        <v>3</v>
      </c>
      <c r="F22" s="10">
        <f>Tabla4[[#This Row],[Columna42]]*$F$2</f>
        <v>18</v>
      </c>
      <c r="G22" s="8"/>
      <c r="H22" s="8"/>
      <c r="L22" s="14">
        <f t="shared" si="3"/>
        <v>47507.519999999997</v>
      </c>
      <c r="M22" s="2">
        <f t="shared" si="4"/>
        <v>39360</v>
      </c>
      <c r="N22" s="2">
        <f t="shared" si="5"/>
        <v>33456</v>
      </c>
      <c r="O22" s="14">
        <v>48000</v>
      </c>
      <c r="P22" s="14">
        <f>Tabla4[[#This Row],[Columna8]]/Tabla4[[#This Row],[Columna4]]</f>
        <v>1219.5121951219512</v>
      </c>
      <c r="Q22" s="14">
        <f>Tabla4[[#This Row],[Columna5]]/48000</f>
        <v>0.98973999999999995</v>
      </c>
    </row>
    <row r="23" spans="1:17" x14ac:dyDescent="0.3">
      <c r="D23">
        <f t="shared" ref="D23:D29" si="6">B23*C23</f>
        <v>0</v>
      </c>
      <c r="F23" s="10"/>
      <c r="G23" s="8"/>
      <c r="H23" s="8"/>
      <c r="L23" s="14">
        <f t="shared" ref="L23:L29" si="7">D23*$L$3</f>
        <v>0</v>
      </c>
      <c r="M23" s="2">
        <f t="shared" ref="M23:M29" si="8">D23*$M$3</f>
        <v>0</v>
      </c>
      <c r="N23" s="2">
        <f t="shared" ref="N23:N29" si="9">D23*$N$3</f>
        <v>0</v>
      </c>
      <c r="O23" s="14"/>
      <c r="P23" s="14" t="e">
        <f>48000/Tabla4[[#This Row],[Columna8]]</f>
        <v>#DIV/0!</v>
      </c>
      <c r="Q23" s="14"/>
    </row>
    <row r="24" spans="1:17" x14ac:dyDescent="0.3">
      <c r="D24">
        <f t="shared" si="6"/>
        <v>0</v>
      </c>
      <c r="F24" s="10"/>
      <c r="G24" s="8"/>
      <c r="H24" s="8"/>
      <c r="L24" s="14">
        <f t="shared" si="7"/>
        <v>0</v>
      </c>
      <c r="M24" s="2">
        <f t="shared" si="8"/>
        <v>0</v>
      </c>
      <c r="N24" s="2">
        <f t="shared" si="9"/>
        <v>0</v>
      </c>
      <c r="O24" s="14"/>
      <c r="P24" s="14" t="e">
        <f>48000/Tabla4[[#This Row],[Columna8]]</f>
        <v>#DIV/0!</v>
      </c>
      <c r="Q24" s="14"/>
    </row>
    <row r="25" spans="1:17" x14ac:dyDescent="0.3">
      <c r="D25">
        <f t="shared" si="6"/>
        <v>0</v>
      </c>
      <c r="F25" s="10"/>
      <c r="G25" s="8"/>
      <c r="H25" s="8"/>
      <c r="L25" s="14">
        <f t="shared" si="7"/>
        <v>0</v>
      </c>
      <c r="M25" s="2">
        <f t="shared" si="8"/>
        <v>0</v>
      </c>
      <c r="N25" s="2">
        <f t="shared" si="9"/>
        <v>0</v>
      </c>
      <c r="O25" s="14"/>
      <c r="P25" s="14" t="e">
        <f>48000/Tabla4[[#This Row],[Columna8]]</f>
        <v>#DIV/0!</v>
      </c>
      <c r="Q25" s="14"/>
    </row>
    <row r="26" spans="1:17" x14ac:dyDescent="0.3">
      <c r="D26">
        <f t="shared" si="6"/>
        <v>0</v>
      </c>
      <c r="F26" s="10"/>
      <c r="G26" s="8"/>
      <c r="H26" s="8"/>
      <c r="L26" s="14">
        <f t="shared" si="7"/>
        <v>0</v>
      </c>
      <c r="M26" s="2">
        <f t="shared" si="8"/>
        <v>0</v>
      </c>
      <c r="N26" s="2">
        <f t="shared" si="9"/>
        <v>0</v>
      </c>
      <c r="O26" s="14"/>
      <c r="P26" s="14" t="e">
        <f>48000/Tabla4[[#This Row],[Columna8]]</f>
        <v>#DIV/0!</v>
      </c>
      <c r="Q26" s="14"/>
    </row>
    <row r="27" spans="1:17" x14ac:dyDescent="0.3">
      <c r="D27">
        <f t="shared" si="6"/>
        <v>0</v>
      </c>
      <c r="F27" s="10"/>
      <c r="G27" s="8"/>
      <c r="H27" s="8"/>
      <c r="L27" s="14">
        <f t="shared" si="7"/>
        <v>0</v>
      </c>
      <c r="M27" s="2">
        <f t="shared" si="8"/>
        <v>0</v>
      </c>
      <c r="N27" s="2">
        <f t="shared" si="9"/>
        <v>0</v>
      </c>
      <c r="O27" s="14"/>
      <c r="P27" s="14" t="e">
        <f>48000/Tabla4[[#This Row],[Columna8]]</f>
        <v>#DIV/0!</v>
      </c>
      <c r="Q27" s="14"/>
    </row>
    <row r="28" spans="1:17" x14ac:dyDescent="0.3">
      <c r="D28">
        <f t="shared" si="6"/>
        <v>0</v>
      </c>
      <c r="F28" s="10"/>
      <c r="G28" s="8"/>
      <c r="H28" s="8"/>
      <c r="L28" s="14">
        <f t="shared" si="7"/>
        <v>0</v>
      </c>
      <c r="M28" s="2">
        <f t="shared" si="8"/>
        <v>0</v>
      </c>
      <c r="N28" s="2">
        <f t="shared" si="9"/>
        <v>0</v>
      </c>
      <c r="O28" s="14"/>
      <c r="P28" s="14" t="e">
        <f>48000/Tabla4[[#This Row],[Columna8]]</f>
        <v>#DIV/0!</v>
      </c>
      <c r="Q28" s="14"/>
    </row>
    <row r="29" spans="1:17" x14ac:dyDescent="0.3">
      <c r="D29">
        <f t="shared" si="6"/>
        <v>0</v>
      </c>
      <c r="F29" s="10"/>
      <c r="G29" s="8"/>
      <c r="H29" s="8"/>
      <c r="L29" s="14">
        <f t="shared" si="7"/>
        <v>0</v>
      </c>
      <c r="M29" s="2">
        <f t="shared" si="8"/>
        <v>0</v>
      </c>
      <c r="N29" s="2">
        <f t="shared" si="9"/>
        <v>0</v>
      </c>
      <c r="O29" s="14"/>
      <c r="P29" s="14" t="e">
        <f>48000/Tabla4[[#This Row],[Columna8]]</f>
        <v>#DIV/0!</v>
      </c>
      <c r="Q29" s="14"/>
    </row>
    <row r="30" spans="1:17" x14ac:dyDescent="0.3">
      <c r="A30" t="s">
        <v>40</v>
      </c>
      <c r="D30">
        <v>118.61</v>
      </c>
      <c r="E30">
        <v>3</v>
      </c>
      <c r="F30" s="6">
        <f>Tabla4[[#This Row],[Columna42]]*$F$2</f>
        <v>18</v>
      </c>
      <c r="G30" s="8"/>
      <c r="H30" s="8"/>
      <c r="L30" s="2">
        <f t="shared" si="3"/>
        <v>143162.26999999999</v>
      </c>
      <c r="M30" s="2">
        <f t="shared" si="4"/>
        <v>118610</v>
      </c>
      <c r="N30" s="2">
        <f t="shared" si="5"/>
        <v>100818.5</v>
      </c>
      <c r="O30" s="2">
        <f>60000*2</f>
        <v>120000</v>
      </c>
      <c r="P30" s="2">
        <f>Tabla4[[#This Row],[Columna8]]/Tabla4[[#This Row],[Columna4]]</f>
        <v>1011.7190793356378</v>
      </c>
      <c r="Q30" s="2">
        <f>Tabla4[[#This Row],[Columna6]]/60000</f>
        <v>1.9768333333333334</v>
      </c>
    </row>
    <row r="31" spans="1:17" x14ac:dyDescent="0.3">
      <c r="A31" t="s">
        <v>47</v>
      </c>
      <c r="D31">
        <v>93.67</v>
      </c>
      <c r="E31">
        <v>3</v>
      </c>
      <c r="F31" s="6">
        <f>Tabla4[[#This Row],[Columna42]]*$F$2</f>
        <v>18</v>
      </c>
      <c r="G31" s="8"/>
      <c r="H31" s="8"/>
      <c r="L31" s="2">
        <f t="shared" si="3"/>
        <v>113059.69</v>
      </c>
      <c r="M31" s="2">
        <f t="shared" si="4"/>
        <v>93670</v>
      </c>
      <c r="N31" s="2">
        <f t="shared" si="5"/>
        <v>79619.5</v>
      </c>
      <c r="O31" s="2">
        <f>48000*2</f>
        <v>96000</v>
      </c>
      <c r="P31" s="2">
        <f>Tabla4[[#This Row],[Columna8]]/Tabla4[[#This Row],[Columna4]]</f>
        <v>1024.8745596242127</v>
      </c>
      <c r="Q31" s="2">
        <f>Tabla4[[#This Row],[Columna6]]/60000</f>
        <v>1.5611666666666666</v>
      </c>
    </row>
    <row r="32" spans="1:17" x14ac:dyDescent="0.3">
      <c r="A32" t="s">
        <v>41</v>
      </c>
      <c r="D32">
        <v>42.17</v>
      </c>
      <c r="E32">
        <v>3</v>
      </c>
      <c r="F32" s="10">
        <f>Tabla4[[#This Row],[Columna42]]*$F$2</f>
        <v>18</v>
      </c>
      <c r="G32" s="8"/>
      <c r="H32" s="8"/>
      <c r="L32" s="2">
        <f t="shared" si="3"/>
        <v>50899.19</v>
      </c>
      <c r="M32" s="2">
        <f t="shared" si="4"/>
        <v>42170</v>
      </c>
      <c r="N32" s="2">
        <f t="shared" si="5"/>
        <v>35844.5</v>
      </c>
      <c r="O32" s="2">
        <v>48000</v>
      </c>
      <c r="P32" s="2">
        <f>Tabla4[[#This Row],[Columna8]]/Tabla4[[#This Row],[Columna4]]</f>
        <v>1138.2499407161488</v>
      </c>
      <c r="Q32" s="2">
        <f>Tabla4[[#This Row],[Columna6]]/60000</f>
        <v>0.70283333333333331</v>
      </c>
    </row>
    <row r="33" spans="1:17" x14ac:dyDescent="0.3">
      <c r="A33" t="s">
        <v>48</v>
      </c>
      <c r="D33">
        <v>84.34</v>
      </c>
      <c r="E33">
        <v>3</v>
      </c>
      <c r="F33" s="10">
        <f>Tabla4[[#This Row],[Columna42]]*$F$2</f>
        <v>18</v>
      </c>
      <c r="G33" s="8"/>
      <c r="H33" s="8"/>
      <c r="L33" s="2">
        <f t="shared" si="3"/>
        <v>101798.38</v>
      </c>
      <c r="M33" s="2">
        <f t="shared" si="4"/>
        <v>84340</v>
      </c>
      <c r="N33" s="2">
        <f t="shared" si="5"/>
        <v>71689</v>
      </c>
      <c r="O33" s="2">
        <f>48000*2</f>
        <v>96000</v>
      </c>
      <c r="P33" s="2">
        <f>Tabla4[[#This Row],[Columna8]]/Tabla4[[#This Row],[Columna4]]</f>
        <v>1138.2499407161488</v>
      </c>
      <c r="Q33" s="2">
        <f>Tabla4[[#This Row],[Columna6]]/60000</f>
        <v>1.4056666666666666</v>
      </c>
    </row>
    <row r="34" spans="1:17" x14ac:dyDescent="0.3">
      <c r="A34" t="s">
        <v>49</v>
      </c>
      <c r="D34">
        <v>84.34</v>
      </c>
      <c r="E34">
        <v>3</v>
      </c>
      <c r="F34" s="10">
        <f>Tabla4[[#This Row],[Columna42]]*$F$2</f>
        <v>18</v>
      </c>
      <c r="G34" s="8"/>
      <c r="H34" s="8"/>
      <c r="L34" s="2">
        <f t="shared" si="3"/>
        <v>101798.38</v>
      </c>
      <c r="M34" s="2">
        <f t="shared" si="4"/>
        <v>84340</v>
      </c>
      <c r="N34" s="2">
        <f t="shared" si="5"/>
        <v>71689</v>
      </c>
      <c r="O34" s="2">
        <f>48000*2</f>
        <v>96000</v>
      </c>
      <c r="P34" s="2">
        <f>Tabla4[[#This Row],[Columna8]]/Tabla4[[#This Row],[Columna4]]</f>
        <v>1138.2499407161488</v>
      </c>
      <c r="Q34" s="2">
        <f>Tabla4[[#This Row],[Columna6]]/60000</f>
        <v>1.4056666666666666</v>
      </c>
    </row>
    <row r="35" spans="1:17" x14ac:dyDescent="0.3">
      <c r="A35" t="s">
        <v>50</v>
      </c>
      <c r="D35">
        <v>84.34</v>
      </c>
      <c r="F35" s="10">
        <f>Tabla4[[#This Row],[Columna42]]*$F$2</f>
        <v>0</v>
      </c>
      <c r="G35" s="8">
        <f>Tabla4[[#This Row],[Columna4]]*$G$2</f>
        <v>163.40907681815364</v>
      </c>
      <c r="H35" s="8"/>
      <c r="L35" s="2">
        <f t="shared" si="3"/>
        <v>101798.38</v>
      </c>
      <c r="M35" s="2">
        <f t="shared" si="4"/>
        <v>84340</v>
      </c>
      <c r="N35" s="2">
        <f t="shared" si="5"/>
        <v>71689</v>
      </c>
      <c r="O35" s="2">
        <f>48000*2</f>
        <v>96000</v>
      </c>
      <c r="P35" s="2">
        <f>Tabla4[[#This Row],[Columna8]]/Tabla4[[#This Row],[Columna4]]</f>
        <v>1138.2499407161488</v>
      </c>
      <c r="Q35" s="2">
        <f>Tabla4[[#This Row],[Columna6]]/60000</f>
        <v>1.4056666666666666</v>
      </c>
    </row>
    <row r="36" spans="1:17" x14ac:dyDescent="0.3">
      <c r="A36" t="s">
        <v>51</v>
      </c>
      <c r="D36">
        <v>84.34</v>
      </c>
      <c r="F36" s="5">
        <f>SUBTOTAL(109,F18:G35)</f>
        <v>343.40907681815361</v>
      </c>
      <c r="G36">
        <f>Tabla4[[#This Row],[Columna422]]*1.1</f>
        <v>377.749984499969</v>
      </c>
      <c r="L36" s="2">
        <f t="shared" si="3"/>
        <v>101798.38</v>
      </c>
      <c r="M36" s="2">
        <f t="shared" si="4"/>
        <v>84340</v>
      </c>
      <c r="N36" s="2">
        <f t="shared" si="5"/>
        <v>71689</v>
      </c>
      <c r="O36" s="2">
        <f>48000*2</f>
        <v>96000</v>
      </c>
      <c r="P36" s="2">
        <f>Tabla4[[#This Row],[Columna8]]/Tabla4[[#This Row],[Columna4]]</f>
        <v>1138.2499407161488</v>
      </c>
      <c r="Q36" s="2">
        <f>Tabla4[[#This Row],[Columna6]]/60000</f>
        <v>1.4056666666666666</v>
      </c>
    </row>
    <row r="37" spans="1:17" x14ac:dyDescent="0.3">
      <c r="E37">
        <v>3</v>
      </c>
      <c r="F37" s="10">
        <f>Tabla4[[#This Row],[Columna42]]*$F$2</f>
        <v>18</v>
      </c>
      <c r="G37" s="8"/>
      <c r="H37" s="8"/>
      <c r="L37" s="2">
        <f t="shared" ref="L37:L52" si="10">D37*$L$3</f>
        <v>0</v>
      </c>
      <c r="M37" s="2">
        <f t="shared" ref="M37:M52" si="11">D37*$M$3</f>
        <v>0</v>
      </c>
      <c r="N37" s="2">
        <f t="shared" ref="N37:N52" si="12">D37*$N$3</f>
        <v>0</v>
      </c>
      <c r="O37" s="2"/>
      <c r="P37" s="2" t="e">
        <f>Tabla4[[#This Row],[Columna8]]/Tabla4[[#This Row],[Columna4]]</f>
        <v>#DIV/0!</v>
      </c>
      <c r="Q37" s="2"/>
    </row>
    <row r="38" spans="1:17" x14ac:dyDescent="0.3">
      <c r="E38">
        <v>3</v>
      </c>
      <c r="F38" s="10">
        <f>Tabla4[[#This Row],[Columna42]]*$F$2</f>
        <v>18</v>
      </c>
      <c r="G38" s="8"/>
      <c r="H38" s="8"/>
      <c r="L38" s="2">
        <f t="shared" si="10"/>
        <v>0</v>
      </c>
      <c r="M38" s="2">
        <f t="shared" si="11"/>
        <v>0</v>
      </c>
      <c r="N38" s="2">
        <f t="shared" si="12"/>
        <v>0</v>
      </c>
      <c r="O38" s="2"/>
      <c r="P38" s="2" t="e">
        <f>Tabla4[[#This Row],[Columna8]]/Tabla4[[#This Row],[Columna4]]</f>
        <v>#DIV/0!</v>
      </c>
      <c r="Q38" s="2"/>
    </row>
    <row r="39" spans="1:17" x14ac:dyDescent="0.3">
      <c r="E39">
        <v>3</v>
      </c>
      <c r="F39" s="10">
        <f>Tabla4[[#This Row],[Columna42]]*$F$2</f>
        <v>18</v>
      </c>
      <c r="G39" s="8"/>
      <c r="H39" s="8"/>
      <c r="L39" s="2">
        <f t="shared" si="10"/>
        <v>0</v>
      </c>
      <c r="M39" s="2">
        <f t="shared" si="11"/>
        <v>0</v>
      </c>
      <c r="N39" s="2">
        <f t="shared" si="12"/>
        <v>0</v>
      </c>
      <c r="O39" s="2"/>
      <c r="P39" s="2" t="e">
        <f>Tabla4[[#This Row],[Columna8]]/Tabla4[[#This Row],[Columna4]]</f>
        <v>#DIV/0!</v>
      </c>
      <c r="Q39" s="2"/>
    </row>
    <row r="40" spans="1:17" x14ac:dyDescent="0.3">
      <c r="E40">
        <v>3</v>
      </c>
      <c r="F40" s="10">
        <f>Tabla4[[#This Row],[Columna42]]*$F$2</f>
        <v>18</v>
      </c>
      <c r="G40" s="8"/>
      <c r="H40" s="8"/>
      <c r="L40" s="2">
        <f t="shared" si="10"/>
        <v>0</v>
      </c>
      <c r="M40" s="2">
        <f t="shared" si="11"/>
        <v>0</v>
      </c>
      <c r="N40" s="2">
        <f t="shared" si="12"/>
        <v>0</v>
      </c>
      <c r="O40" s="2"/>
      <c r="P40" s="2" t="e">
        <f>Tabla4[[#This Row],[Columna8]]/Tabla4[[#This Row],[Columna4]]</f>
        <v>#DIV/0!</v>
      </c>
      <c r="Q40" s="2"/>
    </row>
    <row r="41" spans="1:17" x14ac:dyDescent="0.3">
      <c r="E41">
        <v>3</v>
      </c>
      <c r="F41" s="10">
        <f>Tabla4[[#This Row],[Columna42]]*$F$2</f>
        <v>18</v>
      </c>
      <c r="G41" s="8"/>
      <c r="H41" s="8"/>
      <c r="L41" s="2">
        <f t="shared" si="10"/>
        <v>0</v>
      </c>
      <c r="M41" s="2">
        <f t="shared" si="11"/>
        <v>0</v>
      </c>
      <c r="N41" s="2">
        <f t="shared" si="12"/>
        <v>0</v>
      </c>
      <c r="O41" s="2"/>
      <c r="P41" s="2" t="e">
        <f>Tabla4[[#This Row],[Columna8]]/Tabla4[[#This Row],[Columna4]]</f>
        <v>#DIV/0!</v>
      </c>
      <c r="Q41" s="2"/>
    </row>
    <row r="42" spans="1:17" x14ac:dyDescent="0.3">
      <c r="E42">
        <v>3</v>
      </c>
      <c r="F42" s="10">
        <f>Tabla4[[#This Row],[Columna42]]*$F$2</f>
        <v>18</v>
      </c>
      <c r="G42" s="8"/>
      <c r="H42" s="8"/>
      <c r="L42" s="2">
        <f t="shared" si="10"/>
        <v>0</v>
      </c>
      <c r="M42" s="2">
        <f t="shared" si="11"/>
        <v>0</v>
      </c>
      <c r="N42" s="2">
        <f t="shared" si="12"/>
        <v>0</v>
      </c>
      <c r="O42" s="2"/>
      <c r="P42" s="2" t="e">
        <f>Tabla4[[#This Row],[Columna8]]/Tabla4[[#This Row],[Columna4]]</f>
        <v>#DIV/0!</v>
      </c>
      <c r="Q42" s="2"/>
    </row>
    <row r="43" spans="1:17" x14ac:dyDescent="0.3">
      <c r="E43">
        <v>3</v>
      </c>
      <c r="F43" s="10">
        <f>Tabla4[[#This Row],[Columna42]]*$F$2</f>
        <v>18</v>
      </c>
      <c r="G43" s="8"/>
      <c r="H43" s="8"/>
      <c r="L43" s="2">
        <f t="shared" si="10"/>
        <v>0</v>
      </c>
      <c r="M43" s="2">
        <f t="shared" si="11"/>
        <v>0</v>
      </c>
      <c r="N43" s="2">
        <f t="shared" si="12"/>
        <v>0</v>
      </c>
      <c r="O43" s="2"/>
      <c r="P43" s="2" t="e">
        <f>Tabla4[[#This Row],[Columna8]]/Tabla4[[#This Row],[Columna4]]</f>
        <v>#DIV/0!</v>
      </c>
      <c r="Q43" s="2"/>
    </row>
    <row r="44" spans="1:17" x14ac:dyDescent="0.3">
      <c r="E44">
        <v>3</v>
      </c>
      <c r="F44" s="10">
        <f>Tabla4[[#This Row],[Columna42]]*$F$2</f>
        <v>18</v>
      </c>
      <c r="G44" s="8"/>
      <c r="H44" s="8"/>
      <c r="L44" s="2">
        <f t="shared" si="10"/>
        <v>0</v>
      </c>
      <c r="M44" s="2">
        <f t="shared" si="11"/>
        <v>0</v>
      </c>
      <c r="N44" s="2">
        <f t="shared" si="12"/>
        <v>0</v>
      </c>
      <c r="O44" s="2"/>
      <c r="P44" s="2" t="e">
        <f>Tabla4[[#This Row],[Columna8]]/Tabla4[[#This Row],[Columna4]]</f>
        <v>#DIV/0!</v>
      </c>
      <c r="Q44" s="2"/>
    </row>
    <row r="45" spans="1:17" x14ac:dyDescent="0.3">
      <c r="F45" s="10">
        <f>Tabla4[[#This Row],[Columna42]]*$F$2</f>
        <v>0</v>
      </c>
      <c r="G45" s="8">
        <f>Tabla4[[#This Row],[Columna4]]*$G$2</f>
        <v>0</v>
      </c>
      <c r="H45" s="8"/>
      <c r="L45" s="2">
        <f t="shared" si="10"/>
        <v>0</v>
      </c>
      <c r="M45" s="2">
        <f t="shared" si="11"/>
        <v>0</v>
      </c>
      <c r="N45" s="2">
        <f t="shared" si="12"/>
        <v>0</v>
      </c>
      <c r="O45" s="12"/>
      <c r="P45" s="2" t="e">
        <f>Tabla4[[#This Row],[Columna8]]/Tabla4[[#This Row],[Columna4]]</f>
        <v>#DIV/0!</v>
      </c>
      <c r="Q45" s="2"/>
    </row>
    <row r="46" spans="1:17" x14ac:dyDescent="0.3">
      <c r="F46" s="5">
        <f>SUBTOTAL(109,F22:G45)</f>
        <v>793.15906131812267</v>
      </c>
      <c r="G46">
        <f>Tabla4[[#This Row],[Columna422]]*1.1</f>
        <v>872.47496744993498</v>
      </c>
      <c r="L46" s="2">
        <f t="shared" si="10"/>
        <v>0</v>
      </c>
      <c r="M46" s="2">
        <f t="shared" si="11"/>
        <v>0</v>
      </c>
      <c r="N46" s="2">
        <f t="shared" si="12"/>
        <v>0</v>
      </c>
      <c r="O46" s="2"/>
      <c r="P46" s="2"/>
      <c r="Q46" s="2"/>
    </row>
    <row r="47" spans="1:17" x14ac:dyDescent="0.3">
      <c r="E47">
        <v>12</v>
      </c>
      <c r="F47" s="10">
        <f>Tabla4[[#This Row],[Columna42]]*$F$2</f>
        <v>72</v>
      </c>
      <c r="G47" s="8"/>
      <c r="H47" s="8"/>
      <c r="L47" s="2">
        <f t="shared" si="10"/>
        <v>0</v>
      </c>
      <c r="M47" s="2">
        <f t="shared" si="11"/>
        <v>0</v>
      </c>
      <c r="N47" s="2">
        <f t="shared" si="12"/>
        <v>0</v>
      </c>
      <c r="O47" s="12"/>
      <c r="P47" s="2" t="e">
        <f>Tabla4[[#This Row],[Columna8]]/Tabla4[[#This Row],[Columna4]]</f>
        <v>#DIV/0!</v>
      </c>
      <c r="Q47" s="2"/>
    </row>
    <row r="48" spans="1:17" x14ac:dyDescent="0.3">
      <c r="E48">
        <v>3</v>
      </c>
      <c r="F48" s="10">
        <f>Tabla4[[#This Row],[Columna42]]*$F$2</f>
        <v>18</v>
      </c>
      <c r="G48" s="8"/>
      <c r="H48" s="8"/>
      <c r="L48" s="2">
        <f t="shared" si="10"/>
        <v>0</v>
      </c>
      <c r="M48" s="2">
        <f t="shared" si="11"/>
        <v>0</v>
      </c>
      <c r="N48" s="2">
        <f t="shared" si="12"/>
        <v>0</v>
      </c>
      <c r="O48" s="2"/>
      <c r="P48" s="2" t="e">
        <f>Tabla4[[#This Row],[Columna8]]/Tabla4[[#This Row],[Columna4]]</f>
        <v>#DIV/0!</v>
      </c>
      <c r="Q48" s="2"/>
    </row>
    <row r="49" spans="5:17" x14ac:dyDescent="0.3">
      <c r="F49" s="10">
        <f>Tabla4[[#This Row],[Columna42]]*$F$2</f>
        <v>0</v>
      </c>
      <c r="G49" s="8">
        <f>Tabla4[[#This Row],[Columna4]]*$G$2</f>
        <v>0</v>
      </c>
      <c r="H49" s="8"/>
      <c r="L49" s="2">
        <f t="shared" si="10"/>
        <v>0</v>
      </c>
      <c r="M49" s="2">
        <f t="shared" si="11"/>
        <v>0</v>
      </c>
      <c r="N49" s="2">
        <f t="shared" si="12"/>
        <v>0</v>
      </c>
      <c r="O49" s="2"/>
      <c r="P49" s="2" t="e">
        <f>Tabla4[[#This Row],[Columna8]]/Tabla4[[#This Row],[Columna4]]</f>
        <v>#DIV/0!</v>
      </c>
      <c r="Q49" s="2"/>
    </row>
    <row r="50" spans="5:17" x14ac:dyDescent="0.3">
      <c r="E50">
        <v>15</v>
      </c>
      <c r="F50" s="10">
        <f>Tabla4[[#This Row],[Columna42]]*$F$2</f>
        <v>90</v>
      </c>
      <c r="G50" s="8"/>
      <c r="H50" s="8"/>
      <c r="L50" s="2">
        <f t="shared" si="10"/>
        <v>0</v>
      </c>
      <c r="M50" s="2">
        <f t="shared" si="11"/>
        <v>0</v>
      </c>
      <c r="N50" s="2">
        <f t="shared" si="12"/>
        <v>0</v>
      </c>
      <c r="O50" s="2"/>
      <c r="P50" s="2" t="e">
        <f>Tabla4[[#This Row],[Columna8]]/Tabla4[[#This Row],[Columna4]]</f>
        <v>#DIV/0!</v>
      </c>
      <c r="Q50" s="2"/>
    </row>
    <row r="51" spans="5:17" x14ac:dyDescent="0.3">
      <c r="E51">
        <v>8</v>
      </c>
      <c r="F51" s="10">
        <f>Tabla4[[#This Row],[Columna42]]*$F$2</f>
        <v>48</v>
      </c>
      <c r="G51" s="8"/>
      <c r="H51" s="8"/>
      <c r="L51" s="2">
        <f t="shared" si="10"/>
        <v>0</v>
      </c>
      <c r="M51" s="2">
        <f t="shared" si="11"/>
        <v>0</v>
      </c>
      <c r="N51" s="2">
        <f t="shared" si="12"/>
        <v>0</v>
      </c>
      <c r="O51" s="2"/>
      <c r="P51" s="2" t="e">
        <f>Tabla4[[#This Row],[Columna8]]/Tabla4[[#This Row],[Columna4]]</f>
        <v>#DIV/0!</v>
      </c>
      <c r="Q51" s="2"/>
    </row>
    <row r="52" spans="5:17" x14ac:dyDescent="0.3">
      <c r="F52" s="10">
        <f>Tabla4[[#This Row],[Columna42]]*$F$2</f>
        <v>0</v>
      </c>
      <c r="G52" s="8">
        <f>Tabla4[[#This Row],[Columna4]]*$G$2</f>
        <v>0</v>
      </c>
      <c r="H52" s="8"/>
      <c r="L52" s="2">
        <f t="shared" si="10"/>
        <v>0</v>
      </c>
      <c r="M52" s="2">
        <f t="shared" si="11"/>
        <v>0</v>
      </c>
      <c r="N52" s="2">
        <f t="shared" si="12"/>
        <v>0</v>
      </c>
      <c r="O52" s="2"/>
      <c r="P52" s="2" t="e">
        <f>Tabla4[[#This Row],[Columna8]]/Tabla4[[#This Row],[Columna4]]</f>
        <v>#DIV/0!</v>
      </c>
      <c r="Q52" s="2">
        <v>36000</v>
      </c>
    </row>
    <row r="53" spans="5:17" x14ac:dyDescent="0.3">
      <c r="F53" s="5">
        <f>SUBTOTAL(109,F47:G52)</f>
        <v>228</v>
      </c>
      <c r="G53">
        <f>Tabla4[[#Totals],[Columna422]]*1.1</f>
        <v>250.8</v>
      </c>
      <c r="L53" s="2"/>
      <c r="M53" s="2"/>
      <c r="N53" s="2"/>
      <c r="O53" s="2"/>
      <c r="P53" s="2"/>
    </row>
  </sheetData>
  <phoneticPr fontId="2" type="noConversion"/>
  <pageMargins left="0.7" right="0.7" top="0.38" bottom="0.28999999999999998" header="0.3" footer="0.3"/>
  <pageSetup paperSize="9" scale="66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19BA-549A-496F-B0CF-FAB93D87B092}">
  <sheetPr>
    <pageSetUpPr fitToPage="1"/>
  </sheetPr>
  <dimension ref="A1:R59"/>
  <sheetViews>
    <sheetView tabSelected="1" view="pageBreakPreview" zoomScale="110" zoomScaleNormal="100" zoomScaleSheetLayoutView="11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S11" sqref="S11"/>
    </sheetView>
  </sheetViews>
  <sheetFormatPr baseColWidth="10" defaultRowHeight="14.4" x14ac:dyDescent="0.3"/>
  <cols>
    <col min="1" max="1" width="12.88671875" bestFit="1" customWidth="1"/>
    <col min="2" max="2" width="11.6640625" bestFit="1" customWidth="1"/>
    <col min="3" max="3" width="12.5546875" bestFit="1" customWidth="1"/>
    <col min="4" max="5" width="12.6640625" bestFit="1" customWidth="1"/>
    <col min="6" max="6" width="16.44140625" bestFit="1" customWidth="1"/>
    <col min="7" max="7" width="12.5546875" customWidth="1"/>
    <col min="8" max="8" width="11.6640625" customWidth="1"/>
    <col min="9" max="9" width="5.33203125" hidden="1" customWidth="1"/>
    <col min="10" max="10" width="8" hidden="1" customWidth="1"/>
    <col min="11" max="12" width="8.21875" hidden="1" customWidth="1"/>
    <col min="13" max="14" width="4.77734375" hidden="1" customWidth="1"/>
    <col min="15" max="15" width="5" hidden="1" customWidth="1"/>
    <col min="16" max="16" width="13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52</v>
      </c>
      <c r="E1" t="s">
        <v>54</v>
      </c>
      <c r="F1" t="s">
        <v>67</v>
      </c>
      <c r="G1" t="s">
        <v>69</v>
      </c>
      <c r="H1" t="s">
        <v>3</v>
      </c>
      <c r="I1" t="s">
        <v>17</v>
      </c>
      <c r="J1" t="s">
        <v>25</v>
      </c>
      <c r="K1" t="s">
        <v>27</v>
      </c>
      <c r="L1" t="s">
        <v>30</v>
      </c>
      <c r="M1" t="s">
        <v>18</v>
      </c>
      <c r="N1" t="s">
        <v>19</v>
      </c>
      <c r="O1" t="s">
        <v>21</v>
      </c>
      <c r="P1" t="s">
        <v>7</v>
      </c>
      <c r="Q1" t="s">
        <v>8</v>
      </c>
      <c r="R1" t="s">
        <v>29</v>
      </c>
    </row>
    <row r="2" spans="1:18" x14ac:dyDescent="0.3">
      <c r="B2" t="s">
        <v>9</v>
      </c>
      <c r="H2" t="s">
        <v>10</v>
      </c>
      <c r="J2" s="10">
        <v>6</v>
      </c>
      <c r="K2" s="8">
        <f>0.18/(0.3048*0.3048)</f>
        <v>1.9375038750077498</v>
      </c>
      <c r="L2" s="8"/>
      <c r="M2">
        <v>20</v>
      </c>
      <c r="N2">
        <v>42.377600000000001</v>
      </c>
      <c r="O2">
        <v>72</v>
      </c>
      <c r="P2" t="s">
        <v>12</v>
      </c>
      <c r="Q2" s="2" t="s">
        <v>11</v>
      </c>
      <c r="R2" s="2"/>
    </row>
    <row r="3" spans="1:18" ht="25.2" customHeight="1" x14ac:dyDescent="0.3">
      <c r="A3" s="16" t="s">
        <v>65</v>
      </c>
      <c r="B3" s="16" t="s">
        <v>13</v>
      </c>
      <c r="C3" s="16" t="s">
        <v>66</v>
      </c>
      <c r="D3" s="16" t="s">
        <v>53</v>
      </c>
      <c r="E3" s="16" t="s">
        <v>12</v>
      </c>
      <c r="F3" s="16" t="s">
        <v>68</v>
      </c>
      <c r="G3" s="17" t="s">
        <v>76</v>
      </c>
      <c r="H3" t="s">
        <v>14</v>
      </c>
      <c r="I3" s="7" t="s">
        <v>24</v>
      </c>
      <c r="J3" s="11" t="s">
        <v>26</v>
      </c>
      <c r="K3" s="9" t="s">
        <v>28</v>
      </c>
      <c r="L3" s="9"/>
      <c r="M3" s="7" t="s">
        <v>23</v>
      </c>
      <c r="N3" t="s">
        <v>20</v>
      </c>
      <c r="O3" t="s">
        <v>22</v>
      </c>
      <c r="P3" s="3" t="s">
        <v>15</v>
      </c>
      <c r="Q3" s="4" t="s">
        <v>16</v>
      </c>
      <c r="R3" s="2"/>
    </row>
    <row r="4" spans="1:18" hidden="1" x14ac:dyDescent="0.3">
      <c r="B4">
        <v>0</v>
      </c>
      <c r="J4" s="10"/>
      <c r="K4" s="8"/>
      <c r="L4" s="8"/>
      <c r="P4" s="2"/>
      <c r="Q4" s="2" t="e">
        <f>Tabla43[[#This Row],[Columna8]]/Tabla43[[#This Row],[Columna4]]</f>
        <v>#DIV/0!</v>
      </c>
      <c r="R4" s="2"/>
    </row>
    <row r="5" spans="1:18" hidden="1" x14ac:dyDescent="0.3">
      <c r="J5" s="10"/>
      <c r="K5" s="8"/>
      <c r="L5" s="8"/>
      <c r="P5" s="2"/>
      <c r="Q5" s="2" t="e">
        <f>Tabla43[[#This Row],[Columna8]]/Tabla43[[#This Row],[Columna4]]</f>
        <v>#DIV/0!</v>
      </c>
      <c r="R5" s="2"/>
    </row>
    <row r="6" spans="1:18" hidden="1" x14ac:dyDescent="0.3">
      <c r="B6">
        <v>0</v>
      </c>
      <c r="J6" s="10"/>
      <c r="K6" s="8"/>
      <c r="L6" s="8"/>
      <c r="P6" s="2"/>
      <c r="Q6" s="2" t="e">
        <f>Tabla43[[#This Row],[Columna8]]/Tabla43[[#This Row],[Columna4]]</f>
        <v>#DIV/0!</v>
      </c>
      <c r="R6" s="2"/>
    </row>
    <row r="7" spans="1:18" x14ac:dyDescent="0.3">
      <c r="A7" t="s">
        <v>31</v>
      </c>
      <c r="C7" t="s">
        <v>64</v>
      </c>
      <c r="D7" s="15">
        <v>6</v>
      </c>
      <c r="E7" s="15">
        <v>96000</v>
      </c>
      <c r="F7" s="15" t="s">
        <v>70</v>
      </c>
      <c r="G7" s="15">
        <v>2</v>
      </c>
      <c r="H7">
        <v>586.48</v>
      </c>
      <c r="J7" s="10"/>
      <c r="K7" s="8"/>
      <c r="L7" s="8"/>
      <c r="P7" s="2">
        <f>96000*6</f>
        <v>576000</v>
      </c>
      <c r="Q7" s="2">
        <f>Tabla43[[#This Row],[Columna8]]/Tabla43[[#This Row],[Columna4]]</f>
        <v>982.13067794298183</v>
      </c>
      <c r="R7" s="2" t="e">
        <f>#REF!/60000</f>
        <v>#REF!</v>
      </c>
    </row>
    <row r="8" spans="1:18" x14ac:dyDescent="0.3">
      <c r="A8" t="s">
        <v>43</v>
      </c>
      <c r="C8" t="s">
        <v>71</v>
      </c>
      <c r="D8" s="15">
        <v>2</v>
      </c>
      <c r="E8" s="15">
        <v>36000</v>
      </c>
      <c r="F8" s="15" t="s">
        <v>75</v>
      </c>
      <c r="G8" s="15">
        <v>1</v>
      </c>
      <c r="H8">
        <v>150.19999999999999</v>
      </c>
      <c r="I8">
        <v>30</v>
      </c>
      <c r="J8" s="10">
        <f>Tabla43[[#This Row],[Columna42]]*$J$2</f>
        <v>180</v>
      </c>
      <c r="K8" s="8"/>
      <c r="L8" s="8">
        <f>Tabla43[[#This Row],[Columna422]]*L18/J18</f>
        <v>216.03951370608425</v>
      </c>
      <c r="M8">
        <f>Tabla43[[#This Row],[Columna42]]*$M$2</f>
        <v>600</v>
      </c>
      <c r="N8">
        <f>Tabla43[[#This Row],[Columna42]]*$N$2</f>
        <v>1271.328</v>
      </c>
      <c r="O8">
        <f>Tabla43[[#This Row],[Columna42]]*$O$2</f>
        <v>2160</v>
      </c>
      <c r="P8" s="2">
        <f>60000*3</f>
        <v>180000</v>
      </c>
      <c r="Q8" s="2">
        <f>Tabla43[[#This Row],[Columna8]]/Tabla43[[#This Row],[Columna4]]</f>
        <v>1198.4021304926766</v>
      </c>
      <c r="R8" s="2" t="e">
        <f>#REF!/60000</f>
        <v>#REF!</v>
      </c>
    </row>
    <row r="9" spans="1:18" x14ac:dyDescent="0.3">
      <c r="A9" t="s">
        <v>43</v>
      </c>
      <c r="C9" t="s">
        <v>71</v>
      </c>
      <c r="D9" s="15">
        <v>1</v>
      </c>
      <c r="E9" s="15">
        <v>60000</v>
      </c>
      <c r="F9" s="15" t="s">
        <v>73</v>
      </c>
      <c r="G9" s="15">
        <v>1</v>
      </c>
      <c r="H9" t="e">
        <f>B9*C9</f>
        <v>#VALUE!</v>
      </c>
      <c r="J9" s="10"/>
      <c r="K9" s="8"/>
      <c r="L9" s="8"/>
      <c r="P9" s="2"/>
      <c r="Q9" s="2" t="e">
        <f>48000/Tabla43[[#This Row],[Columna8]]</f>
        <v>#DIV/0!</v>
      </c>
      <c r="R9" s="2"/>
    </row>
    <row r="10" spans="1:18" x14ac:dyDescent="0.3">
      <c r="A10" t="s">
        <v>35</v>
      </c>
      <c r="C10" t="s">
        <v>71</v>
      </c>
      <c r="D10" s="15">
        <v>1</v>
      </c>
      <c r="E10" s="15">
        <v>36000</v>
      </c>
      <c r="F10" s="15" t="s">
        <v>75</v>
      </c>
      <c r="G10" s="15">
        <v>1</v>
      </c>
      <c r="H10">
        <v>42.13</v>
      </c>
      <c r="J10" s="10"/>
      <c r="K10" s="8"/>
      <c r="L10" s="8"/>
      <c r="P10" s="2">
        <v>48000</v>
      </c>
      <c r="Q10" s="2">
        <f>Tabla43[[#This Row],[Columna8]]/Tabla43[[#This Row],[Columna4]]</f>
        <v>1139.3306432470922</v>
      </c>
      <c r="R10" s="2" t="e">
        <f>#REF!/60000</f>
        <v>#REF!</v>
      </c>
    </row>
    <row r="11" spans="1:18" x14ac:dyDescent="0.3">
      <c r="A11" t="s">
        <v>44</v>
      </c>
      <c r="C11" t="s">
        <v>71</v>
      </c>
      <c r="D11" s="15">
        <v>2</v>
      </c>
      <c r="E11" s="15">
        <v>36000</v>
      </c>
      <c r="F11" s="15" t="s">
        <v>75</v>
      </c>
      <c r="G11" s="15">
        <v>2</v>
      </c>
      <c r="H11">
        <v>84.26</v>
      </c>
      <c r="J11" s="10">
        <f>Tabla43[[#This Row],[Columna42]]*$J$2</f>
        <v>0</v>
      </c>
      <c r="K11" s="8">
        <f>Tabla43[[#This Row],[Columna4]]*$K$2</f>
        <v>163.25407650815302</v>
      </c>
      <c r="L11" s="8">
        <f>Tabla43[[#This Row],[Columna423]]*$L$18/$J$18</f>
        <v>195.94072944087358</v>
      </c>
      <c r="P11" s="2">
        <f>48000*2</f>
        <v>96000</v>
      </c>
      <c r="Q11" s="2">
        <f>Tabla43[[#This Row],[Columna8]]/Tabla43[[#This Row],[Columna4]]</f>
        <v>1139.3306432470922</v>
      </c>
      <c r="R11" s="2" t="e">
        <f>#REF!/60000</f>
        <v>#REF!</v>
      </c>
    </row>
    <row r="12" spans="1:18" x14ac:dyDescent="0.3">
      <c r="A12" t="s">
        <v>45</v>
      </c>
      <c r="C12" t="s">
        <v>71</v>
      </c>
      <c r="D12" s="15">
        <v>2</v>
      </c>
      <c r="E12" s="15">
        <v>36000</v>
      </c>
      <c r="F12" s="15" t="s">
        <v>75</v>
      </c>
      <c r="G12" s="15">
        <v>2</v>
      </c>
      <c r="H12">
        <v>84.26</v>
      </c>
      <c r="I12">
        <v>3</v>
      </c>
      <c r="J12" s="10">
        <f>Tabla43[[#This Row],[Columna42]]*$J$2</f>
        <v>18</v>
      </c>
      <c r="K12" s="8"/>
      <c r="L12" s="8">
        <f>Tabla43[[#This Row],[Columna422]]*$L$18/$J$18</f>
        <v>21.603951370608424</v>
      </c>
      <c r="P12" s="2">
        <f>48000*2</f>
        <v>96000</v>
      </c>
      <c r="Q12" s="2">
        <f>Tabla43[[#This Row],[Columna8]]/Tabla43[[#This Row],[Columna4]]</f>
        <v>1139.3306432470922</v>
      </c>
      <c r="R12" s="2" t="e">
        <f>#REF!/60000</f>
        <v>#REF!</v>
      </c>
    </row>
    <row r="13" spans="1:18" x14ac:dyDescent="0.3">
      <c r="A13" t="s">
        <v>46</v>
      </c>
      <c r="C13" t="s">
        <v>71</v>
      </c>
      <c r="D13" s="15">
        <v>2</v>
      </c>
      <c r="E13" s="15">
        <v>36000</v>
      </c>
      <c r="F13" s="15" t="s">
        <v>75</v>
      </c>
      <c r="G13" s="15">
        <v>2</v>
      </c>
      <c r="H13">
        <v>86.99</v>
      </c>
      <c r="I13">
        <v>3</v>
      </c>
      <c r="J13" s="10">
        <f>Tabla43[[#This Row],[Columna42]]*$J$2</f>
        <v>18</v>
      </c>
      <c r="K13" s="8"/>
      <c r="L13" s="8">
        <f>Tabla43[[#This Row],[Columna422]]*$L$18/$J$18</f>
        <v>21.603951370608424</v>
      </c>
      <c r="P13" s="2">
        <f>48000*2</f>
        <v>96000</v>
      </c>
      <c r="Q13" s="2">
        <f>Tabla43[[#This Row],[Columna8]]/Tabla43[[#This Row],[Columna4]]</f>
        <v>1103.5751235774228</v>
      </c>
      <c r="R13" s="2" t="e">
        <f>#REF!/60000</f>
        <v>#REF!</v>
      </c>
    </row>
    <row r="14" spans="1:18" x14ac:dyDescent="0.3">
      <c r="A14" t="s">
        <v>38</v>
      </c>
      <c r="C14" t="s">
        <v>71</v>
      </c>
      <c r="D14" s="15">
        <v>1</v>
      </c>
      <c r="E14" s="15">
        <v>36000</v>
      </c>
      <c r="F14" s="15" t="s">
        <v>75</v>
      </c>
      <c r="G14" s="15">
        <f>Tabla43[[#This Row],[Columna32]]</f>
        <v>1</v>
      </c>
      <c r="H14">
        <v>39.33</v>
      </c>
      <c r="J14" s="10">
        <f>Tabla43[[#This Row],[Columna42]]*$J$2</f>
        <v>0</v>
      </c>
      <c r="K14" s="8"/>
      <c r="L14" s="8">
        <f>Tabla43[[#This Row],[Columna422]]*$L$18/$J$18</f>
        <v>0</v>
      </c>
      <c r="P14" s="2">
        <v>48000</v>
      </c>
      <c r="Q14" s="2">
        <f>Tabla43[[#This Row],[Columna8]]/Tabla43[[#This Row],[Columna4]]</f>
        <v>1220.4424103737606</v>
      </c>
      <c r="R14" s="2" t="e">
        <f>#REF!/60000</f>
        <v>#REF!</v>
      </c>
    </row>
    <row r="15" spans="1:18" x14ac:dyDescent="0.3">
      <c r="A15" s="13" t="s">
        <v>55</v>
      </c>
      <c r="C15" t="s">
        <v>71</v>
      </c>
      <c r="D15" s="15">
        <v>1</v>
      </c>
      <c r="E15" s="15">
        <v>36000</v>
      </c>
      <c r="F15" s="15" t="s">
        <v>75</v>
      </c>
      <c r="G15" s="15">
        <f>Tabla43[[#This Row],[Columna32]]</f>
        <v>1</v>
      </c>
      <c r="H15">
        <v>19.93</v>
      </c>
      <c r="I15">
        <v>3</v>
      </c>
      <c r="J15" s="10">
        <f>Tabla43[[#This Row],[Columna42]]*$J$2</f>
        <v>18</v>
      </c>
      <c r="K15" s="8"/>
      <c r="L15" s="8">
        <f>Tabla43[[#This Row],[Columna422]]*$L$18/$J$18</f>
        <v>21.603951370608424</v>
      </c>
      <c r="P15" s="2">
        <v>36000</v>
      </c>
      <c r="Q15" s="2">
        <f>Tabla43[[#This Row],[Columna8]]/Tabla43[[#This Row],[Columna4]]</f>
        <v>1806.3221274460611</v>
      </c>
      <c r="R15" s="14" t="e">
        <f>#REF!/36000</f>
        <v>#REF!</v>
      </c>
    </row>
    <row r="16" spans="1:18" x14ac:dyDescent="0.3">
      <c r="A16" s="13" t="s">
        <v>56</v>
      </c>
      <c r="C16" t="s">
        <v>71</v>
      </c>
      <c r="D16" s="15">
        <v>1</v>
      </c>
      <c r="E16" s="15">
        <v>36000</v>
      </c>
      <c r="F16" s="15" t="s">
        <v>75</v>
      </c>
      <c r="G16" s="15">
        <f>Tabla43[[#This Row],[Columna32]]</f>
        <v>1</v>
      </c>
      <c r="H16">
        <v>19.3</v>
      </c>
      <c r="I16">
        <v>3</v>
      </c>
      <c r="J16" s="10">
        <f>Tabla43[[#This Row],[Columna42]]*$J$2</f>
        <v>18</v>
      </c>
      <c r="K16" s="8"/>
      <c r="L16" s="8">
        <f>Tabla43[[#This Row],[Columna422]]*$L$18/$J$18</f>
        <v>21.603951370608424</v>
      </c>
      <c r="P16" s="2">
        <v>36000</v>
      </c>
      <c r="Q16" s="2">
        <f>Tabla43[[#This Row],[Columna8]]/Tabla43[[#This Row],[Columna4]]</f>
        <v>1865.2849740932643</v>
      </c>
      <c r="R16" s="14" t="e">
        <f>#REF!/36000</f>
        <v>#REF!</v>
      </c>
    </row>
    <row r="17" spans="1:18" x14ac:dyDescent="0.3">
      <c r="A17" s="13" t="s">
        <v>57</v>
      </c>
      <c r="C17" t="s">
        <v>71</v>
      </c>
      <c r="D17" s="15">
        <v>1</v>
      </c>
      <c r="E17" s="15">
        <v>48000</v>
      </c>
      <c r="F17" s="15" t="s">
        <v>74</v>
      </c>
      <c r="G17" s="15">
        <f>Tabla43[[#This Row],[Columna32]]</f>
        <v>1</v>
      </c>
      <c r="H17">
        <v>41.37</v>
      </c>
      <c r="I17">
        <v>3</v>
      </c>
      <c r="J17" s="10">
        <f>Tabla43[[#This Row],[Columna42]]*$J$2</f>
        <v>18</v>
      </c>
      <c r="K17" s="8"/>
      <c r="L17" s="8">
        <f>Tabla43[[#This Row],[Columna422]]*$L$18/$J$18</f>
        <v>21.603951370608424</v>
      </c>
      <c r="P17" s="14">
        <v>48000</v>
      </c>
      <c r="Q17" s="14">
        <f>Tabla43[[#This Row],[Columna8]]/Tabla43[[#This Row],[Columna4]]</f>
        <v>1160.2610587382162</v>
      </c>
      <c r="R17" s="14" t="e">
        <f>#REF!/36000</f>
        <v>#REF!</v>
      </c>
    </row>
    <row r="18" spans="1:18" x14ac:dyDescent="0.3">
      <c r="A18" s="13" t="s">
        <v>58</v>
      </c>
      <c r="C18" t="s">
        <v>64</v>
      </c>
      <c r="D18" s="15">
        <v>2</v>
      </c>
      <c r="E18" s="15">
        <v>54000</v>
      </c>
      <c r="F18" s="15" t="s">
        <v>89</v>
      </c>
      <c r="G18" s="15">
        <v>1</v>
      </c>
      <c r="H18">
        <v>95.69</v>
      </c>
      <c r="J18" s="5">
        <f>SUBTOTAL(109,J8:K17)</f>
        <v>433.25407650815305</v>
      </c>
      <c r="K18">
        <f>Tabla43[[#This Row],[Columna422]]*1.1</f>
        <v>476.5794841589684</v>
      </c>
      <c r="L18">
        <v>520</v>
      </c>
      <c r="P18" s="14">
        <f>60000*2</f>
        <v>120000</v>
      </c>
      <c r="Q18" s="14">
        <f>Tabla43[[#This Row],[Columna8]]/Tabla43[[#This Row],[Columna4]]</f>
        <v>1254.0495349566309</v>
      </c>
      <c r="R18" s="14" t="e">
        <f>#REF!/36000</f>
        <v>#REF!</v>
      </c>
    </row>
    <row r="19" spans="1:18" x14ac:dyDescent="0.3">
      <c r="A19" s="13" t="s">
        <v>59</v>
      </c>
      <c r="C19" t="s">
        <v>71</v>
      </c>
      <c r="D19" s="15">
        <v>1</v>
      </c>
      <c r="E19" s="15">
        <v>48000</v>
      </c>
      <c r="F19" s="15" t="s">
        <v>74</v>
      </c>
      <c r="G19" s="15">
        <f>Tabla43[[#This Row],[Columna32]]</f>
        <v>1</v>
      </c>
      <c r="H19">
        <v>39.65</v>
      </c>
      <c r="I19">
        <v>3</v>
      </c>
      <c r="J19" s="10">
        <f>Tabla43[[#This Row],[Columna42]]*$J$2</f>
        <v>18</v>
      </c>
      <c r="K19" s="8"/>
      <c r="L19" s="8"/>
      <c r="P19" s="14">
        <v>48000</v>
      </c>
      <c r="Q19" s="14">
        <f>Tabla43[[#This Row],[Columna8]]/Tabla43[[#This Row],[Columna4]]</f>
        <v>1210.5926860025222</v>
      </c>
      <c r="R19" s="14" t="e">
        <f>#REF!/36000</f>
        <v>#REF!</v>
      </c>
    </row>
    <row r="20" spans="1:18" x14ac:dyDescent="0.3">
      <c r="A20" s="13" t="s">
        <v>60</v>
      </c>
      <c r="C20" t="s">
        <v>64</v>
      </c>
      <c r="D20" s="15">
        <v>2</v>
      </c>
      <c r="E20" s="15">
        <v>54000</v>
      </c>
      <c r="F20" s="15" t="s">
        <v>89</v>
      </c>
      <c r="G20" s="15">
        <v>1</v>
      </c>
      <c r="H20">
        <v>1</v>
      </c>
      <c r="I20">
        <v>3</v>
      </c>
      <c r="J20" s="6">
        <f>Tabla43[[#This Row],[Columna42]]*$J$2</f>
        <v>18</v>
      </c>
      <c r="K20" s="8"/>
      <c r="L20" s="8"/>
      <c r="P20" s="14">
        <f>60000*2</f>
        <v>120000</v>
      </c>
      <c r="Q20" s="14">
        <f>Tabla43[[#This Row],[Columna8]]/Tabla43[[#This Row],[Columna4]]</f>
        <v>120000</v>
      </c>
      <c r="R20" s="14" t="e">
        <f>#REF!/48000</f>
        <v>#REF!</v>
      </c>
    </row>
    <row r="21" spans="1:18" x14ac:dyDescent="0.3">
      <c r="A21" s="13" t="s">
        <v>61</v>
      </c>
      <c r="C21" t="s">
        <v>71</v>
      </c>
      <c r="D21" s="15">
        <v>1</v>
      </c>
      <c r="E21" s="15">
        <v>36000</v>
      </c>
      <c r="F21" s="15" t="s">
        <v>75</v>
      </c>
      <c r="G21" s="15">
        <f>Tabla43[[#This Row],[Columna32]]</f>
        <v>1</v>
      </c>
      <c r="H21">
        <v>24.46</v>
      </c>
      <c r="I21">
        <v>3</v>
      </c>
      <c r="J21" s="6">
        <f>Tabla43[[#This Row],[Columna42]]*$J$2</f>
        <v>18</v>
      </c>
      <c r="K21" s="8"/>
      <c r="L21" s="8"/>
      <c r="P21" s="14">
        <v>36000</v>
      </c>
      <c r="Q21" s="14">
        <f>Tabla43[[#This Row],[Columna8]]/Tabla43[[#This Row],[Columna4]]</f>
        <v>1471.7906786590352</v>
      </c>
      <c r="R21" s="14" t="e">
        <f>#REF!/36000</f>
        <v>#REF!</v>
      </c>
    </row>
    <row r="22" spans="1:18" x14ac:dyDescent="0.3">
      <c r="A22" s="13" t="s">
        <v>62</v>
      </c>
      <c r="C22" t="s">
        <v>71</v>
      </c>
      <c r="D22" s="15">
        <v>1</v>
      </c>
      <c r="E22" s="15">
        <v>36000</v>
      </c>
      <c r="F22" s="15" t="s">
        <v>75</v>
      </c>
      <c r="G22" s="15">
        <f>Tabla43[[#This Row],[Columna32]]</f>
        <v>1</v>
      </c>
      <c r="H22">
        <v>29.86</v>
      </c>
      <c r="I22">
        <v>3</v>
      </c>
      <c r="J22" s="6">
        <f>Tabla43[[#This Row],[Columna42]]*$J$2</f>
        <v>18</v>
      </c>
      <c r="K22" s="8"/>
      <c r="L22" s="8"/>
      <c r="P22" s="14">
        <v>36000</v>
      </c>
      <c r="Q22" s="14">
        <f>Tabla43[[#This Row],[Columna8]]/Tabla43[[#This Row],[Columna4]]</f>
        <v>1205.6262558606832</v>
      </c>
      <c r="R22" s="14" t="e">
        <f>#REF!/36000</f>
        <v>#REF!</v>
      </c>
    </row>
    <row r="23" spans="1:18" x14ac:dyDescent="0.3">
      <c r="A23" s="13" t="s">
        <v>63</v>
      </c>
      <c r="C23" t="s">
        <v>71</v>
      </c>
      <c r="D23" s="15">
        <v>1</v>
      </c>
      <c r="E23" s="15">
        <v>36000</v>
      </c>
      <c r="F23" s="15" t="s">
        <v>75</v>
      </c>
      <c r="G23" s="15">
        <f>Tabla43[[#This Row],[Columna32]]</f>
        <v>1</v>
      </c>
      <c r="H23">
        <v>39.36</v>
      </c>
      <c r="I23">
        <v>3</v>
      </c>
      <c r="J23" s="10">
        <f>Tabla43[[#This Row],[Columna42]]*$J$2</f>
        <v>18</v>
      </c>
      <c r="K23" s="8"/>
      <c r="L23" s="8"/>
      <c r="P23" s="14">
        <v>48000</v>
      </c>
      <c r="Q23" s="14">
        <f>Tabla43[[#This Row],[Columna8]]/Tabla43[[#This Row],[Columna4]]</f>
        <v>1219.5121951219512</v>
      </c>
      <c r="R23" s="14" t="e">
        <f>#REF!/48000</f>
        <v>#REF!</v>
      </c>
    </row>
    <row r="24" spans="1:18" x14ac:dyDescent="0.3">
      <c r="A24" t="s">
        <v>40</v>
      </c>
      <c r="C24" t="s">
        <v>71</v>
      </c>
      <c r="D24" s="15">
        <v>2</v>
      </c>
      <c r="E24" s="15">
        <v>60000</v>
      </c>
      <c r="F24" s="15" t="s">
        <v>73</v>
      </c>
      <c r="G24" s="15">
        <f>Tabla43[[#This Row],[Columna32]]</f>
        <v>2</v>
      </c>
      <c r="H24">
        <v>118.61</v>
      </c>
      <c r="I24">
        <v>3</v>
      </c>
      <c r="J24" s="6">
        <f>Tabla43[[#This Row],[Columna42]]*$J$2</f>
        <v>18</v>
      </c>
      <c r="K24" s="8"/>
      <c r="L24" s="8"/>
      <c r="P24" s="2">
        <f>60000*2</f>
        <v>120000</v>
      </c>
      <c r="Q24" s="2">
        <f>Tabla43[[#This Row],[Columna8]]/Tabla43[[#This Row],[Columna4]]</f>
        <v>1011.7190793356378</v>
      </c>
      <c r="R24" s="2" t="e">
        <f>#REF!/60000</f>
        <v>#REF!</v>
      </c>
    </row>
    <row r="25" spans="1:18" x14ac:dyDescent="0.3">
      <c r="A25" t="s">
        <v>47</v>
      </c>
      <c r="C25" t="s">
        <v>71</v>
      </c>
      <c r="D25" s="15">
        <v>1</v>
      </c>
      <c r="E25" s="15">
        <v>60000</v>
      </c>
      <c r="F25" s="15" t="s">
        <v>73</v>
      </c>
      <c r="G25" s="15">
        <f>Tabla43[[#This Row],[Columna32]]</f>
        <v>1</v>
      </c>
      <c r="H25">
        <v>93.67</v>
      </c>
      <c r="I25">
        <v>3</v>
      </c>
      <c r="J25" s="6">
        <f>Tabla43[[#This Row],[Columna42]]*$J$2</f>
        <v>18</v>
      </c>
      <c r="K25" s="8"/>
      <c r="L25" s="8"/>
      <c r="P25" s="2">
        <f>48000*2</f>
        <v>96000</v>
      </c>
      <c r="Q25" s="2">
        <f>Tabla43[[#This Row],[Columna8]]/Tabla43[[#This Row],[Columna4]]</f>
        <v>1024.8745596242127</v>
      </c>
      <c r="R25" s="2" t="e">
        <f>#REF!/60000</f>
        <v>#REF!</v>
      </c>
    </row>
    <row r="26" spans="1:18" x14ac:dyDescent="0.3">
      <c r="A26" t="s">
        <v>47</v>
      </c>
      <c r="C26" t="s">
        <v>71</v>
      </c>
      <c r="D26" s="15">
        <v>1</v>
      </c>
      <c r="E26" s="15">
        <v>36000</v>
      </c>
      <c r="F26" s="15" t="s">
        <v>75</v>
      </c>
      <c r="G26" s="15">
        <f>Tabla43[[#This Row],[Columna32]]</f>
        <v>1</v>
      </c>
      <c r="H26" t="e">
        <f>B26*C26</f>
        <v>#VALUE!</v>
      </c>
      <c r="J26" s="10"/>
      <c r="K26" s="8"/>
      <c r="L26" s="8"/>
      <c r="P26" s="2"/>
      <c r="Q26" s="2" t="e">
        <f>48000/Tabla43[[#This Row],[Columna8]]</f>
        <v>#DIV/0!</v>
      </c>
      <c r="R26" s="2"/>
    </row>
    <row r="27" spans="1:18" x14ac:dyDescent="0.3">
      <c r="A27" t="s">
        <v>41</v>
      </c>
      <c r="C27" t="s">
        <v>71</v>
      </c>
      <c r="D27" s="15">
        <v>1</v>
      </c>
      <c r="E27" s="15">
        <v>36000</v>
      </c>
      <c r="F27" s="15" t="s">
        <v>75</v>
      </c>
      <c r="G27" s="15">
        <f>Tabla43[[#This Row],[Columna32]]</f>
        <v>1</v>
      </c>
      <c r="H27">
        <v>42.17</v>
      </c>
      <c r="I27">
        <v>3</v>
      </c>
      <c r="J27" s="10">
        <f>Tabla43[[#This Row],[Columna42]]*$J$2</f>
        <v>18</v>
      </c>
      <c r="K27" s="8"/>
      <c r="L27" s="8"/>
      <c r="P27" s="2">
        <v>48000</v>
      </c>
      <c r="Q27" s="2">
        <f>Tabla43[[#This Row],[Columna8]]/Tabla43[[#This Row],[Columna4]]</f>
        <v>1138.2499407161488</v>
      </c>
      <c r="R27" s="2" t="e">
        <f>#REF!/60000</f>
        <v>#REF!</v>
      </c>
    </row>
    <row r="28" spans="1:18" x14ac:dyDescent="0.3">
      <c r="A28" t="s">
        <v>48</v>
      </c>
      <c r="C28" t="s">
        <v>71</v>
      </c>
      <c r="D28" s="15">
        <v>2</v>
      </c>
      <c r="E28" s="15">
        <v>36000</v>
      </c>
      <c r="F28" s="15" t="s">
        <v>75</v>
      </c>
      <c r="G28" s="15">
        <f>Tabla43[[#This Row],[Columna32]]</f>
        <v>2</v>
      </c>
      <c r="H28">
        <v>84.34</v>
      </c>
      <c r="I28">
        <v>3</v>
      </c>
      <c r="J28" s="10">
        <f>Tabla43[[#This Row],[Columna42]]*$J$2</f>
        <v>18</v>
      </c>
      <c r="K28" s="8"/>
      <c r="L28" s="8"/>
      <c r="P28" s="2">
        <f>48000*2</f>
        <v>96000</v>
      </c>
      <c r="Q28" s="2">
        <f>Tabla43[[#This Row],[Columna8]]/Tabla43[[#This Row],[Columna4]]</f>
        <v>1138.2499407161488</v>
      </c>
      <c r="R28" s="2" t="e">
        <f>#REF!/60000</f>
        <v>#REF!</v>
      </c>
    </row>
    <row r="29" spans="1:18" x14ac:dyDescent="0.3">
      <c r="A29" t="s">
        <v>49</v>
      </c>
      <c r="C29" t="s">
        <v>71</v>
      </c>
      <c r="D29" s="15">
        <v>2</v>
      </c>
      <c r="E29" s="15">
        <v>36000</v>
      </c>
      <c r="F29" s="15" t="s">
        <v>75</v>
      </c>
      <c r="G29" s="15">
        <f>Tabla43[[#This Row],[Columna32]]</f>
        <v>2</v>
      </c>
      <c r="H29">
        <v>84.34</v>
      </c>
      <c r="I29">
        <v>3</v>
      </c>
      <c r="J29" s="10">
        <f>Tabla43[[#This Row],[Columna42]]*$J$2</f>
        <v>18</v>
      </c>
      <c r="K29" s="8"/>
      <c r="L29" s="8"/>
      <c r="P29" s="2">
        <f>48000*2</f>
        <v>96000</v>
      </c>
      <c r="Q29" s="2">
        <f>Tabla43[[#This Row],[Columna8]]/Tabla43[[#This Row],[Columna4]]</f>
        <v>1138.2499407161488</v>
      </c>
      <c r="R29" s="2" t="e">
        <f>#REF!/60000</f>
        <v>#REF!</v>
      </c>
    </row>
    <row r="30" spans="1:18" x14ac:dyDescent="0.3">
      <c r="A30" t="s">
        <v>50</v>
      </c>
      <c r="C30" t="s">
        <v>71</v>
      </c>
      <c r="D30" s="15">
        <v>2</v>
      </c>
      <c r="E30" s="15">
        <v>36000</v>
      </c>
      <c r="F30" s="15" t="s">
        <v>75</v>
      </c>
      <c r="G30" s="15">
        <f>Tabla43[[#This Row],[Columna32]]</f>
        <v>2</v>
      </c>
      <c r="H30">
        <v>84.34</v>
      </c>
      <c r="J30" s="10">
        <f>Tabla43[[#This Row],[Columna42]]*$J$2</f>
        <v>0</v>
      </c>
      <c r="K30" s="8">
        <f>Tabla43[[#This Row],[Columna4]]*$K$2</f>
        <v>163.40907681815364</v>
      </c>
      <c r="L30" s="8"/>
      <c r="P30" s="2">
        <f>48000*2</f>
        <v>96000</v>
      </c>
      <c r="Q30" s="2">
        <f>Tabla43[[#This Row],[Columna8]]/Tabla43[[#This Row],[Columna4]]</f>
        <v>1138.2499407161488</v>
      </c>
      <c r="R30" s="2" t="e">
        <f>#REF!/60000</f>
        <v>#REF!</v>
      </c>
    </row>
    <row r="31" spans="1:18" x14ac:dyDescent="0.3">
      <c r="A31" t="s">
        <v>51</v>
      </c>
      <c r="C31" t="s">
        <v>71</v>
      </c>
      <c r="D31" s="15">
        <v>2</v>
      </c>
      <c r="E31" s="15">
        <v>36000</v>
      </c>
      <c r="F31" s="15" t="s">
        <v>75</v>
      </c>
      <c r="G31" s="15">
        <f>Tabla43[[#This Row],[Columna32]]</f>
        <v>2</v>
      </c>
      <c r="H31">
        <v>84.34</v>
      </c>
      <c r="J31" s="5">
        <f>SUBTOTAL(109,J19:K30)</f>
        <v>343.40907681815361</v>
      </c>
      <c r="K31">
        <f>Tabla43[[#This Row],[Columna422]]*1.1</f>
        <v>377.749984499969</v>
      </c>
      <c r="P31" s="2">
        <f>48000*2</f>
        <v>96000</v>
      </c>
      <c r="Q31" s="2">
        <f>Tabla43[[#This Row],[Columna8]]/Tabla43[[#This Row],[Columna4]]</f>
        <v>1138.2499407161488</v>
      </c>
      <c r="R31" s="2" t="e">
        <f>#REF!/60000</f>
        <v>#REF!</v>
      </c>
    </row>
    <row r="32" spans="1:18" hidden="1" x14ac:dyDescent="0.3">
      <c r="I32">
        <v>3</v>
      </c>
      <c r="J32" s="10">
        <f>Tabla43[[#This Row],[Columna42]]*$J$2</f>
        <v>18</v>
      </c>
      <c r="K32" s="8"/>
      <c r="L32" s="8"/>
      <c r="P32" s="2"/>
      <c r="Q32" s="2" t="e">
        <f>Tabla43[[#This Row],[Columna8]]/Tabla43[[#This Row],[Columna4]]</f>
        <v>#DIV/0!</v>
      </c>
      <c r="R32" s="2"/>
    </row>
    <row r="33" spans="9:18" hidden="1" x14ac:dyDescent="0.3">
      <c r="I33">
        <v>3</v>
      </c>
      <c r="J33" s="10">
        <f>Tabla43[[#This Row],[Columna42]]*$J$2</f>
        <v>18</v>
      </c>
      <c r="K33" s="8"/>
      <c r="L33" s="8"/>
      <c r="P33" s="2"/>
      <c r="Q33" s="2" t="e">
        <f>Tabla43[[#This Row],[Columna8]]/Tabla43[[#This Row],[Columna4]]</f>
        <v>#DIV/0!</v>
      </c>
      <c r="R33" s="2"/>
    </row>
    <row r="34" spans="9:18" hidden="1" x14ac:dyDescent="0.3">
      <c r="I34">
        <v>3</v>
      </c>
      <c r="J34" s="10">
        <f>Tabla43[[#This Row],[Columna42]]*$J$2</f>
        <v>18</v>
      </c>
      <c r="K34" s="8"/>
      <c r="L34" s="8"/>
      <c r="P34" s="2"/>
      <c r="Q34" s="2" t="e">
        <f>Tabla43[[#This Row],[Columna8]]/Tabla43[[#This Row],[Columna4]]</f>
        <v>#DIV/0!</v>
      </c>
      <c r="R34" s="2"/>
    </row>
    <row r="35" spans="9:18" hidden="1" x14ac:dyDescent="0.3">
      <c r="I35">
        <v>3</v>
      </c>
      <c r="J35" s="10">
        <f>Tabla43[[#This Row],[Columna42]]*$J$2</f>
        <v>18</v>
      </c>
      <c r="K35" s="8"/>
      <c r="L35" s="8"/>
      <c r="P35" s="2"/>
      <c r="Q35" s="2" t="e">
        <f>Tabla43[[#This Row],[Columna8]]/Tabla43[[#This Row],[Columna4]]</f>
        <v>#DIV/0!</v>
      </c>
      <c r="R35" s="2"/>
    </row>
    <row r="36" spans="9:18" hidden="1" x14ac:dyDescent="0.3">
      <c r="I36">
        <v>3</v>
      </c>
      <c r="J36" s="10">
        <f>Tabla43[[#This Row],[Columna42]]*$J$2</f>
        <v>18</v>
      </c>
      <c r="K36" s="8"/>
      <c r="L36" s="8"/>
      <c r="P36" s="2"/>
      <c r="Q36" s="2" t="e">
        <f>Tabla43[[#This Row],[Columna8]]/Tabla43[[#This Row],[Columna4]]</f>
        <v>#DIV/0!</v>
      </c>
      <c r="R36" s="2"/>
    </row>
    <row r="37" spans="9:18" hidden="1" x14ac:dyDescent="0.3">
      <c r="I37">
        <v>3</v>
      </c>
      <c r="J37" s="10">
        <f>Tabla43[[#This Row],[Columna42]]*$J$2</f>
        <v>18</v>
      </c>
      <c r="K37" s="8"/>
      <c r="L37" s="8"/>
      <c r="P37" s="2"/>
      <c r="Q37" s="2" t="e">
        <f>Tabla43[[#This Row],[Columna8]]/Tabla43[[#This Row],[Columna4]]</f>
        <v>#DIV/0!</v>
      </c>
      <c r="R37" s="2"/>
    </row>
    <row r="38" spans="9:18" hidden="1" x14ac:dyDescent="0.3">
      <c r="I38">
        <v>3</v>
      </c>
      <c r="J38" s="10">
        <f>Tabla43[[#This Row],[Columna42]]*$J$2</f>
        <v>18</v>
      </c>
      <c r="K38" s="8"/>
      <c r="L38" s="8"/>
      <c r="P38" s="2"/>
      <c r="Q38" s="2" t="e">
        <f>Tabla43[[#This Row],[Columna8]]/Tabla43[[#This Row],[Columna4]]</f>
        <v>#DIV/0!</v>
      </c>
      <c r="R38" s="2"/>
    </row>
    <row r="39" spans="9:18" hidden="1" x14ac:dyDescent="0.3">
      <c r="I39">
        <v>3</v>
      </c>
      <c r="J39" s="10">
        <f>Tabla43[[#This Row],[Columna42]]*$J$2</f>
        <v>18</v>
      </c>
      <c r="K39" s="8"/>
      <c r="L39" s="8"/>
      <c r="P39" s="2"/>
      <c r="Q39" s="2" t="e">
        <f>Tabla43[[#This Row],[Columna8]]/Tabla43[[#This Row],[Columna4]]</f>
        <v>#DIV/0!</v>
      </c>
      <c r="R39" s="2"/>
    </row>
    <row r="40" spans="9:18" hidden="1" x14ac:dyDescent="0.3">
      <c r="J40" s="10">
        <f>Tabla43[[#This Row],[Columna42]]*$J$2</f>
        <v>0</v>
      </c>
      <c r="K40" s="8">
        <f>Tabla43[[#This Row],[Columna4]]*$K$2</f>
        <v>0</v>
      </c>
      <c r="L40" s="8"/>
      <c r="P40" s="12"/>
      <c r="Q40" s="2" t="e">
        <f>Tabla43[[#This Row],[Columna8]]/Tabla43[[#This Row],[Columna4]]</f>
        <v>#DIV/0!</v>
      </c>
      <c r="R40" s="2"/>
    </row>
    <row r="41" spans="9:18" hidden="1" x14ac:dyDescent="0.3">
      <c r="J41" s="5">
        <f>SUBTOTAL(109,J23:K40)</f>
        <v>649.15906131812267</v>
      </c>
      <c r="K41">
        <f>Tabla43[[#This Row],[Columna422]]*1.1</f>
        <v>714.074967449935</v>
      </c>
      <c r="P41" s="2"/>
      <c r="Q41" s="2"/>
      <c r="R41" s="2"/>
    </row>
    <row r="42" spans="9:18" hidden="1" x14ac:dyDescent="0.3">
      <c r="I42">
        <v>12</v>
      </c>
      <c r="J42" s="10">
        <f>Tabla43[[#This Row],[Columna42]]*$J$2</f>
        <v>72</v>
      </c>
      <c r="K42" s="8"/>
      <c r="L42" s="8"/>
      <c r="P42" s="12"/>
      <c r="Q42" s="2" t="e">
        <f>Tabla43[[#This Row],[Columna8]]/Tabla43[[#This Row],[Columna4]]</f>
        <v>#DIV/0!</v>
      </c>
      <c r="R42" s="2"/>
    </row>
    <row r="43" spans="9:18" hidden="1" x14ac:dyDescent="0.3">
      <c r="I43">
        <v>3</v>
      </c>
      <c r="J43" s="10">
        <f>Tabla43[[#This Row],[Columna42]]*$J$2</f>
        <v>18</v>
      </c>
      <c r="K43" s="8"/>
      <c r="L43" s="8"/>
      <c r="P43" s="2"/>
      <c r="Q43" s="2" t="e">
        <f>Tabla43[[#This Row],[Columna8]]/Tabla43[[#This Row],[Columna4]]</f>
        <v>#DIV/0!</v>
      </c>
      <c r="R43" s="2"/>
    </row>
    <row r="44" spans="9:18" hidden="1" x14ac:dyDescent="0.3">
      <c r="J44" s="10">
        <f>Tabla43[[#This Row],[Columna42]]*$J$2</f>
        <v>0</v>
      </c>
      <c r="K44" s="8">
        <f>Tabla43[[#This Row],[Columna4]]*$K$2</f>
        <v>0</v>
      </c>
      <c r="L44" s="8"/>
      <c r="P44" s="2"/>
      <c r="Q44" s="2" t="e">
        <f>Tabla43[[#This Row],[Columna8]]/Tabla43[[#This Row],[Columna4]]</f>
        <v>#DIV/0!</v>
      </c>
      <c r="R44" s="2"/>
    </row>
    <row r="45" spans="9:18" hidden="1" x14ac:dyDescent="0.3">
      <c r="I45">
        <v>15</v>
      </c>
      <c r="J45" s="10">
        <f>Tabla43[[#This Row],[Columna42]]*$J$2</f>
        <v>90</v>
      </c>
      <c r="K45" s="8"/>
      <c r="L45" s="8"/>
      <c r="P45" s="2"/>
      <c r="Q45" s="2" t="e">
        <f>Tabla43[[#This Row],[Columna8]]/Tabla43[[#This Row],[Columna4]]</f>
        <v>#DIV/0!</v>
      </c>
      <c r="R45" s="2"/>
    </row>
    <row r="46" spans="9:18" hidden="1" x14ac:dyDescent="0.3">
      <c r="I46">
        <v>8</v>
      </c>
      <c r="J46" s="10">
        <f>Tabla43[[#This Row],[Columna42]]*$J$2</f>
        <v>48</v>
      </c>
      <c r="K46" s="8"/>
      <c r="L46" s="8"/>
      <c r="P46" s="2"/>
      <c r="Q46" s="2" t="e">
        <f>Tabla43[[#This Row],[Columna8]]/Tabla43[[#This Row],[Columna4]]</f>
        <v>#DIV/0!</v>
      </c>
      <c r="R46" s="2"/>
    </row>
    <row r="47" spans="9:18" hidden="1" x14ac:dyDescent="0.3">
      <c r="J47" s="10">
        <f>Tabla43[[#This Row],[Columna42]]*$J$2</f>
        <v>0</v>
      </c>
      <c r="K47" s="8">
        <f>Tabla43[[#This Row],[Columna4]]*$K$2</f>
        <v>0</v>
      </c>
      <c r="L47" s="8"/>
      <c r="P47" s="2"/>
      <c r="Q47" s="2" t="e">
        <f>Tabla43[[#This Row],[Columna8]]/Tabla43[[#This Row],[Columna4]]</f>
        <v>#DIV/0!</v>
      </c>
      <c r="R47" s="2">
        <v>36000</v>
      </c>
    </row>
    <row r="48" spans="9:18" hidden="1" x14ac:dyDescent="0.3">
      <c r="J48" s="5">
        <f>SUBTOTAL(109,J42:K47)</f>
        <v>0</v>
      </c>
      <c r="K48">
        <f>Tabla43[[#Totals],[Columna422]]*1.1</f>
        <v>0</v>
      </c>
      <c r="P48" s="2"/>
      <c r="Q48" s="2"/>
    </row>
    <row r="49" spans="1:7" x14ac:dyDescent="0.3">
      <c r="D49">
        <f>SUM(D7:D48)</f>
        <v>41</v>
      </c>
      <c r="G49">
        <f>SUM(G7:G48)</f>
        <v>34</v>
      </c>
    </row>
    <row r="50" spans="1:7" x14ac:dyDescent="0.3">
      <c r="C50" s="21" t="s">
        <v>88</v>
      </c>
      <c r="F50" s="20" t="s">
        <v>87</v>
      </c>
    </row>
    <row r="51" spans="1:7" x14ac:dyDescent="0.3">
      <c r="A51" s="18" t="s">
        <v>71</v>
      </c>
      <c r="C51" s="15" t="s">
        <v>78</v>
      </c>
      <c r="D51" s="19">
        <f>D8+D10+D11+D12+D13+D14+D15+D16+D21+D22+D23+D26+D27+D28+D29+D30+D31</f>
        <v>25</v>
      </c>
      <c r="F51" s="18" t="s">
        <v>84</v>
      </c>
      <c r="G51" s="19">
        <f>D51</f>
        <v>25</v>
      </c>
    </row>
    <row r="52" spans="1:7" x14ac:dyDescent="0.3">
      <c r="A52" s="18" t="s">
        <v>71</v>
      </c>
      <c r="C52" s="15" t="s">
        <v>79</v>
      </c>
      <c r="D52" s="19">
        <f>D17+D19</f>
        <v>2</v>
      </c>
      <c r="F52" s="18" t="s">
        <v>85</v>
      </c>
      <c r="G52" s="19">
        <f>D52</f>
        <v>2</v>
      </c>
    </row>
    <row r="53" spans="1:7" x14ac:dyDescent="0.3">
      <c r="A53" s="18" t="s">
        <v>71</v>
      </c>
      <c r="C53" s="15" t="s">
        <v>80</v>
      </c>
      <c r="D53" s="19">
        <f>D9+D24+D25</f>
        <v>4</v>
      </c>
      <c r="F53" s="18" t="s">
        <v>86</v>
      </c>
      <c r="G53" s="19">
        <f>D53</f>
        <v>4</v>
      </c>
    </row>
    <row r="54" spans="1:7" x14ac:dyDescent="0.3">
      <c r="A54" s="18"/>
      <c r="C54" s="15"/>
      <c r="D54" s="19"/>
      <c r="F54" s="18"/>
      <c r="G54" s="19"/>
    </row>
    <row r="55" spans="1:7" x14ac:dyDescent="0.3">
      <c r="A55" s="18" t="s">
        <v>64</v>
      </c>
      <c r="C55" s="15" t="s">
        <v>82</v>
      </c>
      <c r="D55" s="19">
        <f>D7</f>
        <v>6</v>
      </c>
      <c r="F55" s="18" t="s">
        <v>83</v>
      </c>
      <c r="G55" s="19">
        <f>G7</f>
        <v>2</v>
      </c>
    </row>
    <row r="56" spans="1:7" x14ac:dyDescent="0.3">
      <c r="A56" s="18"/>
      <c r="C56" s="15"/>
      <c r="D56" s="19"/>
      <c r="F56" s="18"/>
      <c r="G56" s="19"/>
    </row>
    <row r="57" spans="1:7" x14ac:dyDescent="0.3">
      <c r="A57" s="18" t="s">
        <v>64</v>
      </c>
      <c r="C57" s="15" t="s">
        <v>92</v>
      </c>
      <c r="D57" s="19">
        <f>D18+D20</f>
        <v>4</v>
      </c>
      <c r="F57" s="18" t="s">
        <v>91</v>
      </c>
      <c r="G57" s="19">
        <f>G18+G20</f>
        <v>2</v>
      </c>
    </row>
    <row r="58" spans="1:7" x14ac:dyDescent="0.3">
      <c r="D58">
        <f>SUM(D57)</f>
        <v>4</v>
      </c>
    </row>
    <row r="59" spans="1:7" x14ac:dyDescent="0.3">
      <c r="D59">
        <f>SUM(D51:D57)</f>
        <v>41</v>
      </c>
      <c r="G59">
        <f>SUM(G51:G57)</f>
        <v>35</v>
      </c>
    </row>
  </sheetData>
  <phoneticPr fontId="2" type="noConversion"/>
  <pageMargins left="0.7" right="0.7" top="0.38" bottom="0.28999999999999998" header="0.3" footer="0.3"/>
  <pageSetup paperSize="9" scale="68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REVISION (3)</vt:lpstr>
      <vt:lpstr>REVISION</vt:lpstr>
      <vt:lpstr>rev 01</vt:lpstr>
      <vt:lpstr>'rev 01'!Área_de_impresión</vt:lpstr>
      <vt:lpstr>REVISION!Área_de_impresión</vt:lpstr>
      <vt:lpstr>'REVISION (3)'!Área_de_impresión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Manrique</dc:creator>
  <cp:lastModifiedBy>Dario Manrique</cp:lastModifiedBy>
  <cp:lastPrinted>2026-05-29T19:22:19Z</cp:lastPrinted>
  <dcterms:created xsi:type="dcterms:W3CDTF">2025-01-28T21:43:27Z</dcterms:created>
  <dcterms:modified xsi:type="dcterms:W3CDTF">2026-06-15T19:23:00Z</dcterms:modified>
</cp:coreProperties>
</file>