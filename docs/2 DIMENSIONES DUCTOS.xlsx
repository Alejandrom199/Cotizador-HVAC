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xl/externalLinks/externalLink4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persons/person.xml" ContentType="application/vnd.ms-excel.person+xml"/>
  <Override PartName="/xl/worksheets/sheet1.xml" ContentType="application/vnd.openxmlformats-officedocument.spreadsheetml.worksheet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UCTOS piralu REV 01" sheetId="1" state="visible" r:id="rId6"/>
  </sheets>
  <externalReferences>
    <externalReference r:id="rId1"/>
    <externalReference r:id="rId2"/>
    <externalReference r:id="rId3"/>
    <externalReference r:id="rId4"/>
  </externalReferences>
  <definedNames>
    <definedName name="_______________________________________XP231" localSheetId="0">'[1]APU (AREAS VERDE)'!#REF!</definedName>
    <definedName name="_______________________________________XP232" localSheetId="0">'[1]APU (AREAS VERDE)'!#REF!</definedName>
    <definedName name="_________________________________XP232" localSheetId="0">'[1]APU (AREAS VERDE)'!#REF!</definedName>
    <definedName name="_______________________________XP231" localSheetId="0">'[1]APU (AREAS VERDE)'!#REF!</definedName>
    <definedName name="______________________________XP231" localSheetId="0">'[1]APU (AREAS VERDE)'!#REF!</definedName>
    <definedName name="______________________________XP232" localSheetId="0">'[1]APU (AREAS VERDE)'!#REF!</definedName>
    <definedName name="____________________________XP231" localSheetId="0">'[1]APU (AREAS VERDE)'!#REF!</definedName>
    <definedName name="____________________________XP232" localSheetId="0">'[1]APU (AREAS VERDE)'!#REF!</definedName>
    <definedName name="___________________________XP231" localSheetId="0">'[1]APU (AREAS VERDE)'!#REF!</definedName>
    <definedName name="___________________________XP232" localSheetId="0">'[1]APU (AREAS VERDE)'!#REF!</definedName>
    <definedName name="__________________________XP231" localSheetId="0">'[1]APU (AREAS VERDE)'!#REF!</definedName>
    <definedName name="__________________________XP232" localSheetId="0">'[1]APU (AREAS VERDE)'!#REF!</definedName>
    <definedName name="_________________________XP231" localSheetId="0">'[1]APU (AREAS VERDE)'!#REF!</definedName>
    <definedName name="_________________________XP232" localSheetId="0">'[1]APU (AREAS VERDE)'!#REF!</definedName>
    <definedName name="________________________XP231" localSheetId="0">'[1]APU (AREAS VERDE)'!#REF!</definedName>
    <definedName name="________________________XP232" localSheetId="0">'[1]APU (AREAS VERDE)'!#REF!</definedName>
    <definedName name="_______________________XP231" localSheetId="0">'[1]APU (AREAS VERDE)'!#REF!</definedName>
    <definedName name="_______________________XP232" localSheetId="0">'[1]APU (AREAS VERDE)'!#REF!</definedName>
    <definedName name="______________________XP231" localSheetId="0">'[1]APU (AREAS VERDE)'!#REF!</definedName>
    <definedName name="______________________XP232" localSheetId="0">'[1]APU (AREAS VERDE)'!#REF!</definedName>
    <definedName name="_____________________XP231" localSheetId="0">'[1]APU (AREAS VERDE)'!#REF!</definedName>
    <definedName name="_____________________XP232" localSheetId="0">'[1]APU (AREAS VERDE)'!#REF!</definedName>
    <definedName name="____________________XP231" localSheetId="0">'[1]APU (AREAS VERDE)'!#REF!</definedName>
    <definedName name="____________________XP232" localSheetId="0">'[1]APU (AREAS VERDE)'!#REF!</definedName>
    <definedName name="___________________XP231" localSheetId="0">'[1]APU (AREAS VERDE)'!#REF!</definedName>
    <definedName name="___________________XP232" localSheetId="0">'[1]APU (AREAS VERDE)'!#REF!</definedName>
    <definedName name="__________________XP231" localSheetId="0">'[1]APU (AREAS VERDE)'!#REF!</definedName>
    <definedName name="__________________XP232" localSheetId="0">'[1]APU (AREAS VERDE)'!#REF!</definedName>
    <definedName name="_________________XP231" localSheetId="0">'[1]APU (AREAS VERDE)'!#REF!</definedName>
    <definedName name="_________________XP232" localSheetId="0">'[1]APU (AREAS VERDE)'!#REF!</definedName>
    <definedName name="________________XP231" localSheetId="0">'[1]APU (AREAS VERDE)'!#REF!</definedName>
    <definedName name="________________XP232" localSheetId="0">'[1]APU (AREAS VERDE)'!#REF!</definedName>
    <definedName name="_______________XP231" localSheetId="0">'[1]APU (AREAS VERDE)'!#REF!</definedName>
    <definedName name="_______________XP232" localSheetId="0">'[1]APU (AREAS VERDE)'!#REF!</definedName>
    <definedName name="______________XP231" localSheetId="0">'[1]APU (AREAS VERDE)'!#REF!</definedName>
    <definedName name="______________XP232" localSheetId="0">'[1]APU (AREAS VERDE)'!#REF!</definedName>
    <definedName name="_____________XP231" localSheetId="0">'[1]APU (AREAS VERDE)'!#REF!</definedName>
    <definedName name="_____________XP232" localSheetId="0">'[1]APU (AREAS VERDE)'!#REF!</definedName>
    <definedName name="____________XP231" localSheetId="0">'[1]APU (AREAS VERDE)'!#REF!</definedName>
    <definedName name="____________XP232" localSheetId="0">'[1]APU (AREAS VERDE)'!#REF!</definedName>
    <definedName name="___________XP231" localSheetId="0">'[1]APU (AREAS VERDE)'!#REF!</definedName>
    <definedName name="___________XP232" localSheetId="0">'[1]APU (AREAS VERDE)'!#REF!</definedName>
    <definedName name="__________XP231" localSheetId="0">'[1]APU (AREAS VERDE)'!#REF!</definedName>
    <definedName name="__________XP232" localSheetId="0">'[1]APU (AREAS VERDE)'!#REF!</definedName>
    <definedName name="_________XP231" localSheetId="0">'[1]APU (AREAS VERDE)'!#REF!</definedName>
    <definedName name="_________XP232" localSheetId="0">'[1]APU (AREAS VERDE)'!#REF!</definedName>
    <definedName name="________XP231" localSheetId="0">'[1]APU (AREAS VERDE)'!#REF!</definedName>
    <definedName name="________XP232" localSheetId="0">'[1]APU (AREAS VERDE)'!#REF!</definedName>
    <definedName name="_______XP231" localSheetId="0">'[1]APU (AREAS VERDE)'!#REF!</definedName>
    <definedName name="_______XP232" localSheetId="0">'[1]APU (AREAS VERDE)'!#REF!</definedName>
    <definedName name="______XP231" localSheetId="0">'[1]APU (AREAS VERDE)'!#REF!</definedName>
    <definedName name="______XP232" localSheetId="0">'[1]APU (AREAS VERDE)'!#REF!</definedName>
    <definedName name="_____XP231" localSheetId="0">'[1]APU (AREAS VERDE)'!#REF!</definedName>
    <definedName name="_____XP232" localSheetId="0">'[1]APU (AREAS VERDE)'!#REF!</definedName>
    <definedName name="____XP231" localSheetId="0">'[1]APU (AREAS VERDE)'!#REF!</definedName>
    <definedName name="____XP232" localSheetId="0">'[1]APU (AREAS VERDE)'!#REF!</definedName>
    <definedName name="___XP231" localSheetId="0">'[1]APU (AREAS VERDE)'!#REF!</definedName>
    <definedName name="___XP232" localSheetId="0">'[1]APU (AREAS VERDE)'!#REF!</definedName>
    <definedName name="__XP231" localSheetId="0">'[1]APU (AREAS VERDE)'!#REF!</definedName>
    <definedName name="__XP232" localSheetId="0">'[1]APU (AREAS VERDE)'!#REF!</definedName>
    <definedName name="_1" localSheetId="0">'[1]APU (AREAS VERDE)'!#REF!</definedName>
    <definedName name="_2" localSheetId="0">'[1]APU (AREAS VERDE)'!#REF!</definedName>
    <definedName name="_3" localSheetId="0">'[1]APU (AREAS VERDE)'!#REF!</definedName>
    <definedName name="_6" localSheetId="0">'[1]APU (AREAS VERDE)'!#REF!</definedName>
    <definedName name="_xlnm._FilterDatabase" localSheetId="0" hidden="1">'DUCTOS piralu REV 01'!$A$15:$S$142</definedName>
    <definedName name="_XP231" localSheetId="0">'[1]APU (AREAS VERDE)'!#REF!</definedName>
    <definedName name="_XP232" localSheetId="0">'[1]APU (AREAS VERDE)'!#REF!</definedName>
    <definedName name="A" localSheetId="0">'[1]APU (AREAS VERDE)'!#REF!</definedName>
    <definedName name="A_impresión_IM" localSheetId="0">#REF!</definedName>
    <definedName name="AB" localSheetId="0">'[1]APU (AREAS VERDE)'!#REF!</definedName>
    <definedName name="accesorios" localSheetId="0">#REF!</definedName>
    <definedName name="AD" localSheetId="0">'[1]APU (AREAS VERDE)'!#REF!</definedName>
    <definedName name="AE" localSheetId="0">'[1]APU (AREAS VERDE)'!#REF!</definedName>
    <definedName name="AQ" localSheetId="0">'[1]APU (AREAS VERDE)'!#REF!</definedName>
    <definedName name="AREA" localSheetId="0">#REF!</definedName>
    <definedName name="_xlnm.Print_Area" localSheetId="0">#REF!</definedName>
    <definedName name="as" localSheetId="0">'[1]APU (AREAS VERDE)'!#REF!</definedName>
    <definedName name="ax" localSheetId="0">'[1]APU (AREAS VERDE)'!#REF!</definedName>
    <definedName name="B" localSheetId="0">'[1]APU (AREAS VERDE)'!#REF!</definedName>
    <definedName name="calculo" localSheetId="0">#REF!</definedName>
    <definedName name="CODIGO" localSheetId="0">#REF!</definedName>
    <definedName name="d" localSheetId="0">'[1]APU (AREAS VERDE)'!#REF!</definedName>
    <definedName name="e" localSheetId="0">'[1]APU (AREAS VERDE)'!#REF!</definedName>
    <definedName name="g" localSheetId="0">'[1]APU (AREAS VERDE)'!#REF!</definedName>
    <definedName name="inamovible" localSheetId="0">#REF!</definedName>
    <definedName name="lista" localSheetId="0">#REF!</definedName>
    <definedName name="mama" localSheetId="0">#REF!</definedName>
    <definedName name="MIERDA" localSheetId="0">#REF!</definedName>
    <definedName name="MOBRA" localSheetId="0">'[4]BASE DE DATOS'!#REF!</definedName>
    <definedName name="papa" localSheetId="0">#REF!</definedName>
    <definedName name="pauol" localSheetId="0">'[1]APU (AREAS VERDE)'!#REF!</definedName>
    <definedName name="RE" localSheetId="0">'[1]APU (AREAS VERDE)'!#REF!</definedName>
    <definedName name="sdv" localSheetId="0">'[1]APU (AREAS VERDE)'!#REF!</definedName>
    <definedName name="Print_Titles" localSheetId="0">#REF!</definedName>
    <definedName name="tres" localSheetId="0">'[1]APU (AREAS VERDE)'!#REF!</definedName>
    <definedName name="tuberia" localSheetId="0">#REF!</definedName>
    <definedName name="v" localSheetId="0">'[1]APU (AREAS VERDE)'!#REF!</definedName>
    <definedName name="_______________________________________XP231">'[1]APU (AREAS VERDE)'!#REF!</definedName>
    <definedName name="_______________________________________XP232">'[1]APU (AREAS VERDE)'!#REF!</definedName>
    <definedName name="_________________________________XP232">'[1]APU (AREAS VERDE)'!#REF!</definedName>
    <definedName name="_______________________________XP231">'[1]APU (AREAS VERDE)'!#REF!</definedName>
    <definedName name="______________________________XP231">'[1]APU (AREAS VERDE)'!#REF!</definedName>
    <definedName name="______________________________XP232">'[1]APU (AREAS VERDE)'!#REF!</definedName>
    <definedName name="____________________________XP231">'[1]APU (AREAS VERDE)'!#REF!</definedName>
    <definedName name="____________________________XP232">'[1]APU (AREAS VERDE)'!#REF!</definedName>
    <definedName name="___________________________XP231">'[1]APU (AREAS VERDE)'!#REF!</definedName>
    <definedName name="___________________________XP232">'[1]APU (AREAS VERDE)'!#REF!</definedName>
    <definedName name="__________________________XP231">'[1]APU (AREAS VERDE)'!#REF!</definedName>
    <definedName name="__________________________XP232">'[1]APU (AREAS VERDE)'!#REF!</definedName>
    <definedName name="_________________________XP231">'[1]APU (AREAS VERDE)'!#REF!</definedName>
    <definedName name="_________________________XP232">'[1]APU (AREAS VERDE)'!#REF!</definedName>
    <definedName name="________________________XP231">'[1]APU (AREAS VERDE)'!#REF!</definedName>
    <definedName name="________________________XP232">'[1]APU (AREAS VERDE)'!#REF!</definedName>
    <definedName name="_______________________XP231">'[1]APU (AREAS VERDE)'!#REF!</definedName>
    <definedName name="_______________________XP232">'[1]APU (AREAS VERDE)'!#REF!</definedName>
    <definedName name="______________________XP231">'[1]APU (AREAS VERDE)'!#REF!</definedName>
    <definedName name="______________________XP232">'[1]APU (AREAS VERDE)'!#REF!</definedName>
    <definedName name="_____________________XP231">'[1]APU (AREAS VERDE)'!#REF!</definedName>
    <definedName name="_____________________XP232">'[1]APU (AREAS VERDE)'!#REF!</definedName>
    <definedName name="____________________XP231">'[1]APU (AREAS VERDE)'!#REF!</definedName>
    <definedName name="____________________XP232">'[1]APU (AREAS VERDE)'!#REF!</definedName>
    <definedName name="___________________XP231">'[1]APU (AREAS VERDE)'!#REF!</definedName>
    <definedName name="___________________XP232">'[1]APU (AREAS VERDE)'!#REF!</definedName>
    <definedName name="__________________XP231">'[1]APU (AREAS VERDE)'!#REF!</definedName>
    <definedName name="__________________XP232">'[1]APU (AREAS VERDE)'!#REF!</definedName>
    <definedName name="_________________XP231">'[1]APU (AREAS VERDE)'!#REF!</definedName>
    <definedName name="_________________XP232">'[1]APU (AREAS VERDE)'!#REF!</definedName>
    <definedName name="________________XP231">'[1]APU (AREAS VERDE)'!#REF!</definedName>
    <definedName name="________________XP232">'[1]APU (AREAS VERDE)'!#REF!</definedName>
    <definedName name="_______________XP231">'[1]APU (AREAS VERDE)'!#REF!</definedName>
    <definedName name="_______________XP232">'[1]APU (AREAS VERDE)'!#REF!</definedName>
    <definedName name="______________XP231">'[1]APU (AREAS VERDE)'!#REF!</definedName>
    <definedName name="______________XP232">'[1]APU (AREAS VERDE)'!#REF!</definedName>
    <definedName name="_____________XP231">'[1]APU (AREAS VERDE)'!#REF!</definedName>
    <definedName name="_____________XP232">'[1]APU (AREAS VERDE)'!#REF!</definedName>
    <definedName name="____________XP231">'[1]APU (AREAS VERDE)'!#REF!</definedName>
    <definedName name="____________XP232">'[1]APU (AREAS VERDE)'!#REF!</definedName>
    <definedName name="___________XP231">'[1]APU (AREAS VERDE)'!#REF!</definedName>
    <definedName name="___________XP232">'[1]APU (AREAS VERDE)'!#REF!</definedName>
    <definedName name="__________XP231">'[1]APU (AREAS VERDE)'!#REF!</definedName>
    <definedName name="__________XP232">'[1]APU (AREAS VERDE)'!#REF!</definedName>
    <definedName name="_________XP231">'[1]APU (AREAS VERDE)'!#REF!</definedName>
    <definedName name="_________XP232">'[1]APU (AREAS VERDE)'!#REF!</definedName>
    <definedName name="________XP231">'[1]APU (AREAS VERDE)'!#REF!</definedName>
    <definedName name="________XP232">'[1]APU (AREAS VERDE)'!#REF!</definedName>
    <definedName name="_______XP231">'[1]APU (AREAS VERDE)'!#REF!</definedName>
    <definedName name="_______XP232">'[1]APU (AREAS VERDE)'!#REF!</definedName>
    <definedName name="______XP231">'[1]APU (AREAS VERDE)'!#REF!</definedName>
    <definedName name="______XP232">'[1]APU (AREAS VERDE)'!#REF!</definedName>
    <definedName name="_____XP231">'[1]APU (AREAS VERDE)'!#REF!</definedName>
    <definedName name="_____XP232">'[1]APU (AREAS VERDE)'!#REF!</definedName>
    <definedName name="____XP231">'[1]APU (AREAS VERDE)'!#REF!</definedName>
    <definedName name="____XP232">'[1]APU (AREAS VERDE)'!#REF!</definedName>
    <definedName name="___XP231">'[1]APU (AREAS VERDE)'!#REF!</definedName>
    <definedName name="___XP232">'[1]APU (AREAS VERDE)'!#REF!</definedName>
    <definedName name="__XP231">'[1]APU (AREAS VERDE)'!#REF!</definedName>
    <definedName name="__XP232">'[1]APU (AREAS VERDE)'!#REF!</definedName>
    <definedName name="_1">'[1]APU (AREAS VERDE)'!#REF!</definedName>
    <definedName name="_2">'[1]APU (AREAS VERDE)'!#REF!</definedName>
    <definedName name="_3">'[1]APU (AREAS VERDE)'!#REF!</definedName>
    <definedName name="_6">'[1]APU (AREAS VERDE)'!#REF!</definedName>
    <definedName name="_XP231">'[1]APU (AREAS VERDE)'!#REF!</definedName>
    <definedName name="_XP232">'[1]APU (AREAS VERDE)'!#REF!</definedName>
    <definedName name="A">'[1]APU (AREAS VERDE)'!#REF!</definedName>
    <definedName name="A_impresión_IM">#REF!</definedName>
    <definedName name="AB">'[1]APU (AREAS VERDE)'!#REF!</definedName>
    <definedName name="accesorios">#REF!</definedName>
    <definedName name="AD">'[1]APU (AREAS VERDE)'!#REF!</definedName>
    <definedName name="AE">'[1]APU (AREAS VERDE)'!#REF!</definedName>
    <definedName name="AQ">'[1]APU (AREAS VERDE)'!#REF!</definedName>
    <definedName name="AREA">#REF!</definedName>
    <definedName name="Print_Area">#REF!</definedName>
    <definedName name="as">'[1]APU (AREAS VERDE)'!#REF!</definedName>
    <definedName name="ax">'[1]APU (AREAS VERDE)'!#REF!</definedName>
    <definedName name="B">'[1]APU (AREAS VERDE)'!#REF!</definedName>
    <definedName name="BDATOS">'[3]BDATOS'!$A:$IV</definedName>
    <definedName name="calculo">#REF!</definedName>
    <definedName name="CODIGO">#REF!</definedName>
    <definedName name="d">'[1]APU (AREAS VERDE)'!#REF!</definedName>
    <definedName name="e">'[1]APU (AREAS VERDE)'!#REF!</definedName>
    <definedName name="g">'[1]APU (AREAS VERDE)'!#REF!</definedName>
    <definedName name="inamovible">#REF!</definedName>
    <definedName name="lista">#REF!</definedName>
    <definedName name="mama">#REF!</definedName>
    <definedName name="MIERDA">#REF!</definedName>
    <definedName name="MOBRA">'[4]BASE DE DATOS'!#REF!</definedName>
    <definedName name="papa">#REF!</definedName>
    <definedName name="pauol">'[1]APU (AREAS VERDE)'!#REF!</definedName>
    <definedName name="RE">'[1]APU (AREAS VERDE)'!#REF!</definedName>
    <definedName name="sdv">'[1]APU (AREAS VERDE)'!#REF!</definedName>
    <definedName name="Print_Titles">#REF!</definedName>
    <definedName name="tres">'[1]APU (AREAS VERDE)'!#REF!</definedName>
    <definedName name="tuberia">#REF!</definedName>
    <definedName name="v">'[1]APU (AREAS VERDE)'!#REF!</definedName>
    <definedName name="_xlnm._FilterDatabase" localSheetId="0" hidden="1">'DUCTOS piralu REV 01'!$A$15:$S$142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tc={E3F617F8-C4C2-952C-F7DA-A0164FBC1124}</author>
    <author>tc={EABC1A65-D19F-CA44-D315-C169B32D76B9}</author>
    <author>tc={2B363851-B24D-4A0F-3172-92576AECD7BE}</author>
    <author>tc={AB09B8C8-88FB-2C5A-4CD3-F23EE77DBD85}</author>
    <author>tc={7AEB2087-A428-3665-881C-76339DF3734D}</author>
  </authors>
  <commentList>
    <comment ref="O1" authorId="0" xr:uid="{E3F617F8-C4C2-952C-F7DA-A0164FBC1124}">
      <text>
        <r>
          <rPr>
            <b/>
            <sz val="9"/>
            <rFont val="Tahoma"/>
          </rPr>
          <t>smaldonado:</t>
        </r>
        <r>
          <rPr>
            <sz val="9"/>
            <rFont val="Tahoma"/>
          </rPr>
          <t xml:space="preserve">
Código de control de calidad
</t>
        </r>
      </text>
    </comment>
    <comment ref="P2" authorId="1" xr:uid="{EABC1A65-D19F-CA44-D315-C169B32D76B9}">
      <text>
        <r>
          <rPr>
            <b/>
            <sz val="9"/>
            <rFont val="Tahoma"/>
          </rPr>
          <t>smaldonado:</t>
        </r>
        <r>
          <rPr>
            <sz val="9"/>
            <rFont val="Tahoma"/>
          </rPr>
          <t xml:space="preserve">
Registro de diseño
</t>
        </r>
      </text>
    </comment>
    <comment ref="B13" authorId="2" xr:uid="{2B363851-B24D-4A0F-3172-92576AECD7BE}">
      <text>
        <r>
          <rPr>
            <b/>
            <sz val="9"/>
            <rFont val="Tahoma"/>
          </rPr>
          <t>smaldonado:</t>
        </r>
        <r>
          <rPr>
            <sz val="9"/>
            <rFont val="Tahoma"/>
          </rPr>
          <t xml:space="preserve">
Ancho del ducto en pulgadas
</t>
        </r>
      </text>
    </comment>
    <comment ref="C13" authorId="3" xr:uid="{AB09B8C8-88FB-2C5A-4CD3-F23EE77DBD85}">
      <text>
        <r>
          <rPr>
            <b/>
            <sz val="9"/>
            <rFont val="Tahoma"/>
          </rPr>
          <t>smaldonado:</t>
        </r>
        <r>
          <rPr>
            <sz val="9"/>
            <rFont val="Tahoma"/>
          </rPr>
          <t xml:space="preserve">
Alto en pulgadas
</t>
        </r>
      </text>
    </comment>
    <comment ref="B5" authorId="4" xr:uid="{7AEB2087-A428-3665-881C-76339DF3734D}">
      <text>
        <r>
          <rPr>
            <b/>
            <sz val="9"/>
            <rFont val="Tahoma"/>
          </rPr>
          <t>smaldonado:</t>
        </r>
        <r>
          <rPr>
            <sz val="9"/>
            <rFont val="Tahoma"/>
          </rPr>
          <t xml:space="preserve">
Se inyecta aire, se escoge porque &gt; 1500 se escucha ruidos molestos
</t>
        </r>
      </text>
    </comment>
  </commentList>
</comments>
</file>

<file path=xl/sharedStrings.xml><?xml version="1.0" encoding="utf-8"?>
<sst xmlns="http://schemas.openxmlformats.org/spreadsheetml/2006/main" count="55" uniqueCount="55">
  <si>
    <t>R-D-003</t>
  </si>
  <si>
    <t xml:space="preserve">REV 001</t>
  </si>
  <si>
    <t xml:space="preserve">Ductos de extracción en tol</t>
  </si>
  <si>
    <t xml:space="preserve">1500 - 2000</t>
  </si>
  <si>
    <t xml:space="preserve">Ductos de inyección en tol</t>
  </si>
  <si>
    <t xml:space="preserve">1300 - 1700</t>
  </si>
  <si>
    <t xml:space="preserve">Ductos con PIRALU</t>
  </si>
  <si>
    <t xml:space="preserve">1300 - 1500</t>
  </si>
  <si>
    <t xml:space="preserve">AA ductos con aislamiento interno</t>
  </si>
  <si>
    <t xml:space="preserve">AA ductos con aislamiento externo</t>
  </si>
  <si>
    <t xml:space="preserve">Cálculo de ductos</t>
  </si>
  <si>
    <t xml:space="preserve">Tipo de aplicación</t>
  </si>
  <si>
    <t xml:space="preserve">Velocidad en ductos (Fpm)</t>
  </si>
  <si>
    <t>N</t>
  </si>
  <si>
    <t>a</t>
  </si>
  <si>
    <t>b</t>
  </si>
  <si>
    <t>LONGITUD</t>
  </si>
  <si>
    <t>Caudal</t>
  </si>
  <si>
    <t xml:space="preserve">CARGA TERMICA</t>
  </si>
  <si>
    <t>Velocidad</t>
  </si>
  <si>
    <t>AREA</t>
  </si>
  <si>
    <t>GAUGE</t>
  </si>
  <si>
    <t>PESO</t>
  </si>
  <si>
    <t xml:space="preserve">PESO BRIDADOS</t>
  </si>
  <si>
    <t xml:space="preserve">Peso por M2 para distintos espesores</t>
  </si>
  <si>
    <t>Deq</t>
  </si>
  <si>
    <t>Pulg.</t>
  </si>
  <si>
    <t>M</t>
  </si>
  <si>
    <t>CFM</t>
  </si>
  <si>
    <t>BTU/HR</t>
  </si>
  <si>
    <t>FPM</t>
  </si>
  <si>
    <t>M2</t>
  </si>
  <si>
    <t>Kg/M2</t>
  </si>
  <si>
    <t>Kg</t>
  </si>
  <si>
    <t>mm2</t>
  </si>
  <si>
    <t>mm</t>
  </si>
  <si>
    <t>USG-26</t>
  </si>
  <si>
    <t>USG-24</t>
  </si>
  <si>
    <t>USG-22</t>
  </si>
  <si>
    <t>USG-20</t>
  </si>
  <si>
    <t xml:space="preserve">Presión dinamica (in H2O)</t>
  </si>
  <si>
    <t xml:space="preserve">Presión dinamica (Pa)</t>
  </si>
  <si>
    <t xml:space="preserve">sistema 1</t>
  </si>
  <si>
    <t xml:space="preserve">sistema 2</t>
  </si>
  <si>
    <t xml:space="preserve">sistema 3</t>
  </si>
  <si>
    <t xml:space="preserve">EQUIPO </t>
  </si>
  <si>
    <t>EQUIPO</t>
  </si>
  <si>
    <t>Subtotal:</t>
  </si>
  <si>
    <t xml:space="preserve">Desperdicio: 15%</t>
  </si>
  <si>
    <t xml:space="preserve">Kg. TOTAL DE DUCTOS:</t>
  </si>
  <si>
    <t>DIFUSORES/REJILLAS</t>
  </si>
  <si>
    <t xml:space="preserve">GRAN TOTAL:</t>
  </si>
  <si>
    <t>MANGAS</t>
  </si>
  <si>
    <t xml:space="preserve">Número de planchas:</t>
  </si>
  <si>
    <t xml:space="preserve">#plancha Piralu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</si>
</sst>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_ [$€-2]\ * #,##0.00_ ;_ [$€-2]\ * \-#,##0.00_ ;_ [$€-2]\ * &quot;-&quot;??_ "/>
    <numFmt numFmtId="165" formatCode="0.000"/>
    <numFmt numFmtId="166" formatCode="0.0"/>
  </numFmts>
  <fonts count="13">
    <font>
      <sz val="11.000000"/>
      <color theme="1"/>
      <name val="Aptos Narrow"/>
      <scheme val="minor"/>
    </font>
    <font>
      <sz val="10.000000"/>
      <name val="Courier"/>
    </font>
    <font>
      <sz val="10.000000"/>
      <name val="Arial"/>
    </font>
    <font>
      <sz val="18.000000"/>
      <name val="Arial"/>
    </font>
    <font>
      <sz val="12.000000"/>
      <name val="Arial"/>
    </font>
    <font>
      <sz val="14.000000"/>
      <name val="Arial"/>
    </font>
    <font>
      <b/>
      <u/>
      <sz val="14.000000"/>
      <name val="Arial"/>
    </font>
    <font>
      <b/>
      <sz val="12.000000"/>
      <color indexed="2"/>
      <name val="Arial"/>
    </font>
    <font>
      <b/>
      <sz val="12.000000"/>
      <color indexed="56"/>
      <name val="Arial"/>
    </font>
    <font>
      <sz val="8.000000"/>
      <name val="Arial"/>
    </font>
    <font>
      <b/>
      <sz val="10.000000"/>
      <name val="Arial"/>
    </font>
    <font>
      <b/>
      <sz val="10.000000"/>
      <color theme="0"/>
      <name val="Arial"/>
    </font>
    <font>
      <sz val="10.000000"/>
      <color indexed="2"/>
      <name val="Arial"/>
    </font>
  </fonts>
  <fills count="8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indexed="5"/>
      </patternFill>
    </fill>
    <fill>
      <patternFill patternType="solid">
        <fgColor theme="0"/>
      </patternFill>
    </fill>
    <fill>
      <patternFill patternType="solid">
        <fgColor theme="4" tint="-0.249977111117893"/>
      </patternFill>
    </fill>
    <fill>
      <patternFill patternType="solid">
        <fgColor indexed="3"/>
      </patternFill>
    </fill>
    <fill>
      <patternFill patternType="solid">
        <fgColor rgb="FF92D050"/>
      </patternFill>
    </fill>
  </fills>
  <borders count="25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ck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3">
    <xf fontId="0" fillId="0" borderId="0" numFmtId="0" applyNumberFormat="1" applyFont="1" applyFill="1" applyBorder="1"/>
    <xf fontId="1" fillId="0" borderId="0" numFmtId="164" applyNumberFormat="1" applyFont="1" applyFill="1" applyBorder="1"/>
    <xf fontId="1" fillId="0" borderId="0" numFmtId="0" applyNumberFormat="1" applyFont="1" applyFill="1" applyBorder="1"/>
  </cellStyleXfs>
  <cellXfs count="104">
    <xf fontId="0" fillId="0" borderId="0" numFmtId="0" xfId="0"/>
    <xf fontId="1" fillId="2" borderId="0" numFmtId="164" xfId="1" applyNumberFormat="1" applyFont="1" applyFill="1"/>
    <xf fontId="1" fillId="2" borderId="0" numFmtId="1" xfId="1" applyNumberFormat="1" applyFont="1" applyFill="1"/>
    <xf fontId="1" fillId="3" borderId="0" numFmtId="164" xfId="1" applyNumberFormat="1" applyFont="1" applyFill="1"/>
    <xf fontId="2" fillId="2" borderId="0" numFmtId="164" xfId="1" applyNumberFormat="1" applyFont="1" applyFill="1"/>
    <xf fontId="1" fillId="2" borderId="0" numFmtId="165" xfId="1" applyNumberFormat="1" applyFont="1" applyFill="1" applyAlignment="1">
      <alignment horizontal="center"/>
    </xf>
    <xf fontId="1" fillId="2" borderId="0" numFmtId="2" xfId="1" applyNumberFormat="1" applyFont="1" applyFill="1"/>
    <xf fontId="1" fillId="2" borderId="0" numFmtId="164" xfId="1" applyNumberFormat="1" applyFont="1" applyFill="1" applyAlignment="1">
      <alignment horizontal="center"/>
    </xf>
    <xf fontId="3" fillId="2" borderId="0" numFmtId="164" xfId="1" applyNumberFormat="1" applyFont="1" applyFill="1" applyAlignment="1">
      <alignment horizontal="left"/>
    </xf>
    <xf fontId="2" fillId="3" borderId="0" numFmtId="164" xfId="1" applyNumberFormat="1" applyFont="1" applyFill="1"/>
    <xf fontId="2" fillId="2" borderId="0" numFmtId="164" xfId="1" applyNumberFormat="1" applyFont="1" applyFill="1" applyAlignment="1">
      <alignment horizontal="center"/>
    </xf>
    <xf fontId="4" fillId="2" borderId="0" numFmtId="164" xfId="1" applyNumberFormat="1" applyFont="1" applyFill="1"/>
    <xf fontId="5" fillId="2" borderId="0" numFmtId="16" xfId="1" applyNumberFormat="1" applyFont="1" applyFill="1"/>
    <xf fontId="6" fillId="2" borderId="0" numFmtId="164" xfId="1" applyNumberFormat="1" applyFont="1" applyFill="1"/>
    <xf fontId="7" fillId="2" borderId="1" numFmtId="164" xfId="1" applyNumberFormat="1" applyFont="1" applyFill="1" applyBorder="1" applyAlignment="1">
      <alignment horizontal="center"/>
    </xf>
    <xf fontId="7" fillId="2" borderId="0" numFmtId="164" xfId="1" applyNumberFormat="1" applyFont="1" applyFill="1" applyAlignment="1">
      <alignment horizontal="center"/>
    </xf>
    <xf fontId="5" fillId="2" borderId="0" numFmtId="164" xfId="1" applyNumberFormat="1" applyFont="1" applyFill="1" applyAlignment="1">
      <alignment horizontal="center"/>
    </xf>
    <xf fontId="8" fillId="2" borderId="0" numFmtId="164" xfId="1" applyNumberFormat="1" applyFont="1" applyFill="1"/>
    <xf fontId="2" fillId="2" borderId="2" numFmtId="164" xfId="1" applyNumberFormat="1" applyFont="1" applyFill="1" applyBorder="1" applyAlignment="1">
      <alignment horizontal="center"/>
    </xf>
    <xf fontId="2" fillId="2" borderId="3" numFmtId="164" xfId="1" applyNumberFormat="1" applyFont="1" applyFill="1" applyBorder="1" applyAlignment="1">
      <alignment horizontal="center"/>
    </xf>
    <xf fontId="2" fillId="2" borderId="4" numFmtId="164" xfId="1" applyNumberFormat="1" applyFont="1" applyFill="1" applyBorder="1" applyAlignment="1">
      <alignment horizontal="center"/>
    </xf>
    <xf fontId="2" fillId="2" borderId="5" numFmtId="164" xfId="1" applyNumberFormat="1" applyFont="1" applyFill="1" applyBorder="1" applyAlignment="1">
      <alignment horizontal="center"/>
    </xf>
    <xf fontId="2" fillId="3" borderId="3" numFmtId="164" xfId="1" applyNumberFormat="1" applyFont="1" applyFill="1" applyBorder="1" applyAlignment="1">
      <alignment horizontal="center"/>
    </xf>
    <xf fontId="2" fillId="2" borderId="6" numFmtId="164" xfId="1" applyNumberFormat="1" applyFont="1" applyFill="1" applyBorder="1" applyAlignment="1">
      <alignment horizontal="center"/>
    </xf>
    <xf fontId="2" fillId="2" borderId="7" numFmtId="164" xfId="1" applyNumberFormat="1" applyFont="1" applyFill="1" applyBorder="1" applyAlignment="1">
      <alignment horizontal="center"/>
    </xf>
    <xf fontId="9" fillId="2" borderId="3" numFmtId="164" xfId="1" applyNumberFormat="1" applyFont="1" applyFill="1" applyBorder="1" applyAlignment="1">
      <alignment horizontal="center"/>
    </xf>
    <xf fontId="2" fillId="2" borderId="8" numFmtId="164" xfId="1" applyNumberFormat="1" applyFont="1" applyFill="1" applyBorder="1" applyAlignment="1">
      <alignment horizontal="center"/>
    </xf>
    <xf fontId="2" fillId="2" borderId="9" numFmtId="164" xfId="1" applyNumberFormat="1" applyFont="1" applyFill="1" applyBorder="1" applyAlignment="1">
      <alignment horizontal="center"/>
    </xf>
    <xf fontId="1" fillId="2" borderId="5" numFmtId="164" xfId="1" applyNumberFormat="1" applyFont="1" applyFill="1" applyBorder="1" applyAlignment="1">
      <alignment horizontal="center"/>
    </xf>
    <xf fontId="2" fillId="2" borderId="10" numFmtId="164" xfId="1" applyNumberFormat="1" applyFont="1" applyFill="1" applyBorder="1" applyAlignment="1">
      <alignment horizontal="center"/>
    </xf>
    <xf fontId="2" fillId="2" borderId="11" numFmtId="164" xfId="1" applyNumberFormat="1" applyFont="1" applyFill="1" applyBorder="1" applyAlignment="1">
      <alignment horizontal="center"/>
    </xf>
    <xf fontId="2" fillId="2" borderId="12" numFmtId="164" xfId="1" applyNumberFormat="1" applyFont="1" applyFill="1" applyBorder="1" applyAlignment="1">
      <alignment horizontal="center"/>
    </xf>
    <xf fontId="2" fillId="2" borderId="13" numFmtId="164" xfId="1" applyNumberFormat="1" applyFont="1" applyFill="1" applyBorder="1" applyAlignment="1">
      <alignment horizontal="center"/>
    </xf>
    <xf fontId="2" fillId="2" borderId="14" numFmtId="164" xfId="1" applyNumberFormat="1" applyFont="1" applyFill="1" applyBorder="1" applyAlignment="1">
      <alignment horizontal="center"/>
    </xf>
    <xf fontId="2" fillId="3" borderId="15" numFmtId="164" xfId="1" applyNumberFormat="1" applyFont="1" applyFill="1" applyBorder="1" applyAlignment="1">
      <alignment horizontal="center"/>
    </xf>
    <xf fontId="2" fillId="2" borderId="16" numFmtId="164" xfId="1" applyNumberFormat="1" applyFont="1" applyFill="1" applyBorder="1" applyAlignment="1">
      <alignment horizontal="center"/>
    </xf>
    <xf fontId="2" fillId="2" borderId="17" numFmtId="164" xfId="1" applyNumberFormat="1" applyFont="1" applyFill="1" applyBorder="1" applyAlignment="1">
      <alignment horizontal="center"/>
    </xf>
    <xf fontId="2" fillId="2" borderId="18" numFmtId="164" xfId="1" applyNumberFormat="1" applyFont="1" applyFill="1" applyBorder="1" applyAlignment="1">
      <alignment horizontal="center"/>
    </xf>
    <xf fontId="2" fillId="2" borderId="14" numFmtId="164" xfId="1" applyNumberFormat="1" applyFont="1" applyFill="1" applyBorder="1"/>
    <xf fontId="2" fillId="2" borderId="16" numFmtId="164" xfId="1" applyNumberFormat="1" applyFont="1" applyFill="1" applyBorder="1"/>
    <xf fontId="2" fillId="2" borderId="19" numFmtId="164" xfId="1" applyNumberFormat="1" applyFont="1" applyFill="1" applyBorder="1"/>
    <xf fontId="1" fillId="2" borderId="14" numFmtId="164" xfId="1" applyNumberFormat="1" applyFont="1" applyFill="1" applyBorder="1" applyAlignment="1">
      <alignment horizontal="center"/>
    </xf>
    <xf fontId="2" fillId="2" borderId="20" numFmtId="164" xfId="1" applyNumberFormat="1" applyFont="1" applyFill="1" applyBorder="1" applyAlignment="1">
      <alignment horizontal="center"/>
    </xf>
    <xf fontId="2" fillId="2" borderId="9" numFmtId="164" xfId="1" applyNumberFormat="1" applyFont="1" applyFill="1" applyBorder="1" applyAlignment="1">
      <alignment vertical="top" wrapText="1"/>
    </xf>
    <xf fontId="2" fillId="2" borderId="0" numFmtId="2" xfId="1" applyNumberFormat="1" applyFont="1" applyFill="1" applyAlignment="1">
      <alignment horizontal="center" vertical="center"/>
    </xf>
    <xf fontId="2" fillId="3" borderId="0" numFmtId="2" xfId="1" applyNumberFormat="1" applyFont="1" applyFill="1" applyAlignment="1">
      <alignment horizontal="center" vertical="center"/>
    </xf>
    <xf fontId="2" fillId="2" borderId="0" numFmtId="166" xfId="1" applyNumberFormat="1" applyFont="1" applyFill="1" applyAlignment="1">
      <alignment horizontal="left"/>
    </xf>
    <xf fontId="2" fillId="2" borderId="0" numFmtId="2" xfId="1" applyNumberFormat="1" applyFont="1" applyFill="1" applyAlignment="1">
      <alignment horizontal="right"/>
    </xf>
    <xf fontId="2" fillId="2" borderId="0" numFmtId="2" xfId="1" applyNumberFormat="1" applyFont="1" applyFill="1" applyAlignment="1">
      <alignment horizontal="left"/>
    </xf>
    <xf fontId="10" fillId="3" borderId="0" numFmtId="164" xfId="1" applyNumberFormat="1" applyFont="1" applyFill="1" applyAlignment="1">
      <alignment horizontal="center"/>
    </xf>
    <xf fontId="1" fillId="2" borderId="0" numFmtId="165" xfId="1" applyNumberFormat="1" applyFont="1" applyFill="1" applyAlignment="1">
      <alignment horizontal="center" vertical="center" wrapText="1"/>
    </xf>
    <xf fontId="1" fillId="2" borderId="0" numFmtId="165" xfId="1" applyNumberFormat="1" applyFont="1" applyFill="1" applyAlignment="1">
      <alignment horizontal="center" wrapText="1"/>
    </xf>
    <xf fontId="1" fillId="2" borderId="0" numFmtId="2" xfId="1" applyNumberFormat="1" applyFont="1" applyFill="1" applyAlignment="1">
      <alignment horizontal="center"/>
    </xf>
    <xf fontId="1" fillId="4" borderId="0" numFmtId="2" xfId="1" applyNumberFormat="1" applyFont="1" applyFill="1"/>
    <xf fontId="2" fillId="2" borderId="0" numFmtId="2" xfId="1" applyNumberFormat="1" applyFont="1" applyFill="1" applyAlignment="1">
      <alignment horizontal="center"/>
    </xf>
    <xf fontId="2" fillId="3" borderId="0" numFmtId="2" xfId="1" applyNumberFormat="1" applyFont="1" applyFill="1" applyAlignment="1">
      <alignment horizontal="center"/>
    </xf>
    <xf fontId="10" fillId="2" borderId="0" numFmtId="2" xfId="1" applyNumberFormat="1" applyFont="1" applyFill="1" applyAlignment="1">
      <alignment horizontal="center"/>
    </xf>
    <xf fontId="2" fillId="4" borderId="0" numFmtId="2" xfId="1" applyNumberFormat="1" applyFont="1" applyFill="1" applyAlignment="1">
      <alignment horizontal="center"/>
    </xf>
    <xf fontId="2" fillId="2" borderId="0" numFmtId="2" xfId="1" applyNumberFormat="1" applyFont="1" applyFill="1" quotePrefix="1"/>
    <xf fontId="2" fillId="2" borderId="21" numFmtId="2" xfId="1" applyNumberFormat="1" applyFont="1" applyFill="1" applyBorder="1" quotePrefix="1"/>
    <xf fontId="2" fillId="2" borderId="0" numFmtId="2" xfId="1" applyNumberFormat="1" applyFont="1" applyFill="1"/>
    <xf fontId="11" fillId="5" borderId="0" numFmtId="2" xfId="2" applyNumberFormat="1" applyFont="1" applyFill="1" applyAlignment="1">
      <alignment horizontal="left"/>
    </xf>
    <xf fontId="12" fillId="5" borderId="0" numFmtId="2" xfId="1" applyNumberFormat="1" applyFont="1" applyFill="1" applyAlignment="1">
      <alignment horizontal="center"/>
    </xf>
    <xf fontId="2" fillId="5" borderId="0" numFmtId="2" xfId="1" applyNumberFormat="1" applyFont="1" applyFill="1" applyAlignment="1">
      <alignment horizontal="center"/>
    </xf>
    <xf fontId="10" fillId="5" borderId="0" numFmtId="2" xfId="1" applyNumberFormat="1" applyFont="1" applyFill="1" applyAlignment="1">
      <alignment horizontal="center"/>
    </xf>
    <xf fontId="2" fillId="5" borderId="0" numFmtId="2" xfId="1" applyNumberFormat="1" applyFont="1" applyFill="1" quotePrefix="1"/>
    <xf fontId="2" fillId="5" borderId="21" numFmtId="2" xfId="1" applyNumberFormat="1" applyFont="1" applyFill="1" applyBorder="1" quotePrefix="1"/>
    <xf fontId="2" fillId="5" borderId="0" numFmtId="2" xfId="1" applyNumberFormat="1" applyFont="1" applyFill="1"/>
    <xf fontId="1" fillId="2" borderId="0" numFmtId="165" xfId="1" applyNumberFormat="1" applyFont="1" applyFill="1" applyAlignment="1">
      <alignment horizontal="center" vertical="center"/>
    </xf>
    <xf fontId="10" fillId="4" borderId="0" numFmtId="2" xfId="1" applyNumberFormat="1" applyFont="1" applyFill="1" applyAlignment="1">
      <alignment horizontal="center"/>
    </xf>
    <xf fontId="2" fillId="6" borderId="0" numFmtId="2" xfId="1" applyNumberFormat="1" applyFont="1" applyFill="1"/>
    <xf fontId="1" fillId="4" borderId="0" numFmtId="166" xfId="1" applyNumberFormat="1" applyFont="1" applyFill="1"/>
    <xf fontId="1" fillId="4" borderId="0" numFmtId="2" xfId="1" applyNumberFormat="1" applyFont="1" applyFill="1" applyAlignment="1">
      <alignment vertical="center"/>
    </xf>
    <xf fontId="12" fillId="4" borderId="0" numFmtId="2" xfId="1" applyNumberFormat="1" applyFont="1" applyFill="1" applyAlignment="1">
      <alignment horizontal="center"/>
    </xf>
    <xf fontId="1" fillId="4" borderId="0" numFmtId="165" xfId="1" applyNumberFormat="1" applyFont="1" applyFill="1" applyAlignment="1">
      <alignment horizontal="center" vertical="center"/>
    </xf>
    <xf fontId="12" fillId="3" borderId="0" numFmtId="2" xfId="1" applyNumberFormat="1" applyFont="1" applyFill="1" applyAlignment="1">
      <alignment horizontal="center"/>
    </xf>
    <xf fontId="10" fillId="3" borderId="0" numFmtId="2" xfId="1" applyNumberFormat="1" applyFont="1" applyFill="1" applyAlignment="1">
      <alignment horizontal="center"/>
    </xf>
    <xf fontId="2" fillId="7" borderId="0" numFmtId="2" xfId="1" applyNumberFormat="1" applyFont="1" applyFill="1" applyAlignment="1">
      <alignment horizontal="center"/>
    </xf>
    <xf fontId="10" fillId="7" borderId="0" numFmtId="2" xfId="1" applyNumberFormat="1" applyFont="1" applyFill="1" applyAlignment="1">
      <alignment horizontal="center"/>
    </xf>
    <xf fontId="1" fillId="4" borderId="0" numFmtId="165" xfId="1" applyNumberFormat="1" applyFont="1" applyFill="1" applyAlignment="1">
      <alignment horizontal="center"/>
    </xf>
    <xf fontId="10" fillId="4" borderId="0" numFmtId="2" xfId="1" applyNumberFormat="1" applyFont="1" applyFill="1" applyAlignment="1">
      <alignment horizontal="center" vertical="center"/>
    </xf>
    <xf fontId="2" fillId="6" borderId="0" numFmtId="2" xfId="1" applyNumberFormat="1" applyFont="1" applyFill="1" applyAlignment="1">
      <alignment horizontal="center"/>
    </xf>
    <xf fontId="10" fillId="3" borderId="0" numFmtId="2" xfId="2" applyNumberFormat="1" applyFont="1" applyFill="1" applyAlignment="1">
      <alignment horizontal="left"/>
    </xf>
    <xf fontId="10" fillId="5" borderId="0" numFmtId="2" xfId="2" applyNumberFormat="1" applyFont="1" applyFill="1" applyAlignment="1">
      <alignment horizontal="left"/>
    </xf>
    <xf fontId="2" fillId="2" borderId="0" numFmtId="39" xfId="1" applyNumberFormat="1" applyFont="1" applyFill="1" applyAlignment="1">
      <alignment horizontal="center"/>
    </xf>
    <xf fontId="2" fillId="3" borderId="0" numFmtId="39" xfId="1" applyNumberFormat="1" applyFont="1" applyFill="1" applyAlignment="1">
      <alignment horizontal="center"/>
    </xf>
    <xf fontId="2" fillId="2" borderId="0" numFmtId="39" xfId="1" applyNumberFormat="1" applyFont="1" applyFill="1" applyAlignment="1">
      <alignment horizontal="right"/>
    </xf>
    <xf fontId="2" fillId="3" borderId="0" numFmtId="39" xfId="1" applyNumberFormat="1" applyFont="1" applyFill="1" applyAlignment="1">
      <alignment horizontal="right"/>
    </xf>
    <xf fontId="2" fillId="2" borderId="1" numFmtId="39" xfId="1" applyNumberFormat="1" applyFont="1" applyFill="1" applyBorder="1" applyAlignment="1">
      <alignment horizontal="right"/>
    </xf>
    <xf fontId="2" fillId="2" borderId="1" numFmtId="39" xfId="1" applyNumberFormat="1" applyFont="1" applyFill="1" applyBorder="1"/>
    <xf fontId="2" fillId="3" borderId="0" numFmtId="164" xfId="1" applyNumberFormat="1" applyFont="1" applyFill="1" applyAlignment="1">
      <alignment horizontal="center"/>
    </xf>
    <xf fontId="2" fillId="2" borderId="0" numFmtId="164" xfId="1" applyNumberFormat="1" applyFont="1" applyFill="1" applyAlignment="1">
      <alignment horizontal="right"/>
    </xf>
    <xf fontId="2" fillId="2" borderId="0" numFmtId="10" xfId="1" applyNumberFormat="1" applyFont="1" applyFill="1" applyAlignment="1">
      <alignment horizontal="right"/>
    </xf>
    <xf fontId="2" fillId="2" borderId="21" numFmtId="164" xfId="1" applyNumberFormat="1" applyFont="1" applyFill="1" applyBorder="1" applyAlignment="1">
      <alignment horizontal="center"/>
    </xf>
    <xf fontId="1" fillId="4" borderId="0" numFmtId="1" xfId="1" applyNumberFormat="1" applyFont="1" applyFill="1"/>
    <xf fontId="1" fillId="4" borderId="0" numFmtId="164" xfId="1" applyNumberFormat="1" applyFont="1" applyFill="1"/>
    <xf fontId="2" fillId="2" borderId="1" numFmtId="4" xfId="1" applyNumberFormat="1" applyFont="1" applyFill="1" applyBorder="1" applyAlignment="1">
      <alignment horizontal="right"/>
    </xf>
    <xf fontId="2" fillId="2" borderId="21" numFmtId="164" xfId="1" applyNumberFormat="1" applyFont="1" applyFill="1" applyBorder="1"/>
    <xf fontId="12" fillId="2" borderId="22" numFmtId="4" xfId="1" applyNumberFormat="1" applyFont="1" applyFill="1" applyBorder="1"/>
    <xf fontId="12" fillId="2" borderId="23" numFmtId="4" xfId="1" applyNumberFormat="1" applyFont="1" applyFill="1" applyBorder="1"/>
    <xf fontId="2" fillId="2" borderId="24" numFmtId="4" xfId="1" applyNumberFormat="1" applyFont="1" applyFill="1" applyBorder="1"/>
    <xf fontId="2" fillId="2" borderId="1" numFmtId="4" xfId="1" applyNumberFormat="1" applyFont="1" applyFill="1" applyBorder="1"/>
    <xf fontId="1" fillId="2" borderId="0" numFmtId="164" xfId="1" applyNumberFormat="1" applyFont="1" applyFill="1" applyAlignment="1">
      <alignment horizontal="right"/>
    </xf>
    <xf fontId="1" fillId="2" borderId="1" numFmtId="164" xfId="1" applyNumberFormat="1" applyFont="1" applyFill="1" applyBorder="1"/>
  </cellXfs>
  <cellStyles count="3">
    <cellStyle name="Normal" xfId="0" builtinId="0"/>
    <cellStyle name="Normal 2 2" xfId="1"/>
    <cellStyle name="Normal 8 2" xfId="2"/>
  </cellStyles>
  <dxfs count="1">
    <dxf>
      <fill>
        <patternFill patternType="solid">
          <fgColor indexed="65"/>
          <b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2" Type="http://schemas.openxmlformats.org/officeDocument/2006/relationships/externalLink" Target="externalLinks/externalLink2.xml"/><Relationship  Id="rId3" Type="http://schemas.openxmlformats.org/officeDocument/2006/relationships/externalLink" Target="externalLinks/externalLink3.xml"/><Relationship  Id="rId4" Type="http://schemas.openxmlformats.org/officeDocument/2006/relationships/externalLink" Target="externalLinks/externalLink4.xml"/><Relationship  Id="rId5" Type="http://schemas.microsoft.com/office/2017/10/relationships/person" Target="persons/person.xml"/><Relationship  Id="rId6" Type="http://schemas.openxmlformats.org/officeDocument/2006/relationships/worksheet" Target="worksheets/sheet1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D:\Documents%20and%20Settings\INTELD845PESVL\Escritorio\PEPITO\Proyectos%20por%20cobrar\DE%20LA%20CALLE%2024A.%20NO\PROYECTO\DE%20LA%20CALLE%2024A.%20NO.XLS" TargetMode="External"/></Relationships>
</file>

<file path=xl/externalLinks/_rels/externalLink2.xml.rels><?xml version="1.0" encoding="UTF-8" standalone="yes"?><Relationships xmlns="http://schemas.openxmlformats.org/package/2006/relationships"><Relationship  Id="rId1" Type="http://schemas.openxmlformats.org/officeDocument/2006/relationships/externalLinkPath" Target="/Users/proye/Downloads/PROYECTOS%202026/OFERTAS%202026/1099%20Residencia%20Carlos%20Egas%20-%20Cambio%20split%20ducto%2036%20kbtu%20marca%20Norden%20REV00.xlsx" TargetMode="External"/></Relationships>
</file>

<file path=xl/externalLinks/_rels/externalLink3.xml.rels><?xml version="1.0" encoding="UTF-8" standalone="yes"?><Relationships xmlns="http://schemas.openxmlformats.org/package/2006/relationships"><Relationship  Id="rId1" Type="http://schemas.openxmlformats.org/officeDocument/2006/relationships/externalLinkPath" Target="K:\Documents%20and%20Settings\Administrador\Mis%20documentos\AUTORIDAD%20PORTUARIA\OFERTA%20MALDONADO%20FIALLO\WINDOWS\TEMP\GASES%20M&#201;DICOS\Petropro.xls" TargetMode="External"/></Relationships>
</file>

<file path=xl/externalLinks/_rels/externalLink4.xml.rels><?xml version="1.0" encoding="UTF-8" standalone="yes"?><Relationships xmlns="http://schemas.openxmlformats.org/package/2006/relationships"><Relationship  Id="rId1" Type="http://schemas.openxmlformats.org/officeDocument/2006/relationships/externalLinkPath" Target="file:///\\D9BF6F91\Sistema%20de%20Audio%20y%20Vide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FICACION-mo"/>
      <sheetName val="APU (PRELIMINARES)"/>
      <sheetName val="APU (OBRAS civ_infraest_ACERA) "/>
      <sheetName val="APU (SOBREPISO-MAMPOSTERIA) "/>
      <sheetName val="APU (PINTURA-PINT_TRAFICO) "/>
      <sheetName val="APU (AREAS VERDE)"/>
      <sheetName val="APU (SISTEMA_AGUA-VARIOS_PERS)"/>
      <sheetName val="CODIFI_CASTASTRAL"/>
      <sheetName val="CODIFICACIONES"/>
      <sheetName val="DE LA CALLE 24A. NO"/>
      <sheetName val="Calle 24A - No"/>
      <sheetName val="APU_(AREAS_VERDE)"/>
      <sheetName val="APU_(PRELIMINARES)"/>
      <sheetName val="APU_(OBRAS_civ_infraest_ACERA)_"/>
      <sheetName val="APU_(SOBREPISO-MAMPOSTERIA)_"/>
      <sheetName val="APU_(PINTURA-PINT_TRAFICO)_"/>
      <sheetName val="APU_(AREAS_VERDE)1"/>
      <sheetName val="APU_(SISTEMA_AGUA-VARIOS_PERS)"/>
      <sheetName val="DE_LA_CALLE_24A__NO"/>
      <sheetName val="Calle_24A_-_N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CION"/>
      <sheetName val="cotizacion "/>
      <sheetName val="precios Samsung"/>
      <sheetName val="MTTO. PREVENTIVO"/>
      <sheetName val="MTTO, CHONE"/>
      <sheetName val="DUCTOS piralu REV 01"/>
      <sheetName val="PRECIOS"/>
      <sheetName val="DUCTOS piralu"/>
      <sheetName val="DUCTOS TOL"/>
      <sheetName val="DUCTOS HORNO POLLO"/>
      <sheetName val="PRESENTACION MTTO"/>
      <sheetName val="Hoja2"/>
      <sheetName val="costos  y ventas Instalacion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ATOS"/>
    </sheetNames>
    <sheetDataSet>
      <sheetData sheetId="0" refreshError="1">
        <row r="1">
          <cell r="F1" t="e">
            <v>#REF!</v>
          </cell>
        </row>
        <row r="2">
          <cell r="A2" t="e">
            <v>#REF!</v>
          </cell>
          <cell r="B2" t="e">
            <v>#REF!</v>
          </cell>
          <cell r="C2" t="e">
            <v>#REF!</v>
          </cell>
          <cell r="D2" t="e">
            <v>#REF!</v>
          </cell>
          <cell r="E2" t="e">
            <v>#REF!</v>
          </cell>
        </row>
        <row r="3">
          <cell r="B3" t="e">
            <v>#REF!</v>
          </cell>
        </row>
        <row r="4">
          <cell r="A4" t="e">
            <v>#REF!</v>
          </cell>
          <cell r="B4" t="e">
            <v>#REF!</v>
          </cell>
          <cell r="C4" t="e">
            <v>#REF!</v>
          </cell>
          <cell r="D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</row>
        <row r="6">
          <cell r="A6" t="e">
            <v>#REF!</v>
          </cell>
          <cell r="B6" t="e">
            <v>#REF!</v>
          </cell>
          <cell r="C6" t="e">
            <v>#REF!</v>
          </cell>
          <cell r="D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</row>
        <row r="8">
          <cell r="A8" t="e">
            <v>#REF!</v>
          </cell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6">
          <cell r="B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  <cell r="E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  <cell r="E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  <cell r="E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  <cell r="E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  <cell r="E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</row>
        <row r="243">
          <cell r="A243" t="e">
            <v>#REF!</v>
          </cell>
          <cell r="B243" t="e">
            <v>#REF!</v>
          </cell>
          <cell r="C243" t="e">
            <v>#REF!</v>
          </cell>
          <cell r="D243" t="e">
            <v>#REF!</v>
          </cell>
          <cell r="E243" t="e">
            <v>#REF!</v>
          </cell>
        </row>
        <row r="244">
          <cell r="A244" t="e">
            <v>#REF!</v>
          </cell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</row>
        <row r="245">
          <cell r="A245" t="e">
            <v>#REF!</v>
          </cell>
          <cell r="B245" t="e">
            <v>#REF!</v>
          </cell>
          <cell r="C245" t="e">
            <v>#REF!</v>
          </cell>
          <cell r="D245" t="e">
            <v>#REF!</v>
          </cell>
          <cell r="E245" t="e">
            <v>#REF!</v>
          </cell>
        </row>
        <row r="246">
          <cell r="A246" t="e">
            <v>#REF!</v>
          </cell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</row>
        <row r="247">
          <cell r="A247" t="e">
            <v>#REF!</v>
          </cell>
          <cell r="B247" t="e">
            <v>#REF!</v>
          </cell>
          <cell r="C247" t="e">
            <v>#REF!</v>
          </cell>
          <cell r="D247" t="e">
            <v>#REF!</v>
          </cell>
          <cell r="E247" t="e">
            <v>#REF!</v>
          </cell>
        </row>
        <row r="248">
          <cell r="A248" t="e">
            <v>#REF!</v>
          </cell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</row>
        <row r="249">
          <cell r="A249" t="e">
            <v>#REF!</v>
          </cell>
          <cell r="B249" t="e">
            <v>#REF!</v>
          </cell>
          <cell r="C249" t="e">
            <v>#REF!</v>
          </cell>
          <cell r="D249" t="e">
            <v>#REF!</v>
          </cell>
          <cell r="E249" t="e">
            <v>#REF!</v>
          </cell>
        </row>
        <row r="250">
          <cell r="A250" t="e">
            <v>#REF!</v>
          </cell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</row>
        <row r="251">
          <cell r="A251" t="e">
            <v>#REF!</v>
          </cell>
          <cell r="B251" t="e">
            <v>#REF!</v>
          </cell>
          <cell r="C251" t="e">
            <v>#REF!</v>
          </cell>
          <cell r="D251" t="e">
            <v>#REF!</v>
          </cell>
          <cell r="E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  <cell r="E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  <cell r="E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  <cell r="E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  <cell r="E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  <cell r="E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  <cell r="E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  <cell r="E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  <cell r="E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  <cell r="E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  <cell r="E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  <cell r="E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  <cell r="E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  <cell r="E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  <cell r="E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  <cell r="E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  <cell r="E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  <cell r="E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  <cell r="E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  <cell r="E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  <cell r="E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  <cell r="E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  <cell r="E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  <cell r="E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  <cell r="E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  <cell r="E301" t="e">
            <v>#REF!</v>
          </cell>
        </row>
        <row r="302">
          <cell r="A302" t="e">
            <v>#REF!</v>
          </cell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</row>
        <row r="303">
          <cell r="A303" t="e">
            <v>#REF!</v>
          </cell>
          <cell r="B303" t="e">
            <v>#REF!</v>
          </cell>
          <cell r="C303" t="e">
            <v>#REF!</v>
          </cell>
          <cell r="D303" t="e">
            <v>#REF!</v>
          </cell>
          <cell r="E303" t="e">
            <v>#REF!</v>
          </cell>
        </row>
        <row r="304">
          <cell r="A304" t="e">
            <v>#REF!</v>
          </cell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</row>
        <row r="305">
          <cell r="A305" t="e">
            <v>#REF!</v>
          </cell>
          <cell r="B305" t="e">
            <v>#REF!</v>
          </cell>
          <cell r="C305" t="e">
            <v>#REF!</v>
          </cell>
          <cell r="D305" t="e">
            <v>#REF!</v>
          </cell>
          <cell r="E305" t="e">
            <v>#REF!</v>
          </cell>
        </row>
        <row r="306">
          <cell r="A306" t="e">
            <v>#REF!</v>
          </cell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</row>
        <row r="307">
          <cell r="A307" t="e">
            <v>#REF!</v>
          </cell>
          <cell r="B307" t="e">
            <v>#REF!</v>
          </cell>
          <cell r="C307" t="e">
            <v>#REF!</v>
          </cell>
          <cell r="D307" t="e">
            <v>#REF!</v>
          </cell>
          <cell r="E307" t="e">
            <v>#REF!</v>
          </cell>
        </row>
        <row r="308">
          <cell r="A308" t="e">
            <v>#REF!</v>
          </cell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</row>
        <row r="309">
          <cell r="A309" t="e">
            <v>#REF!</v>
          </cell>
          <cell r="B309" t="e">
            <v>#REF!</v>
          </cell>
          <cell r="C309" t="e">
            <v>#REF!</v>
          </cell>
          <cell r="D309" t="e">
            <v>#REF!</v>
          </cell>
          <cell r="E309" t="e">
            <v>#REF!</v>
          </cell>
        </row>
        <row r="310">
          <cell r="A310" t="e">
            <v>#REF!</v>
          </cell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</row>
        <row r="311">
          <cell r="A311" t="e">
            <v>#REF!</v>
          </cell>
          <cell r="B311" t="e">
            <v>#REF!</v>
          </cell>
          <cell r="C311" t="e">
            <v>#REF!</v>
          </cell>
          <cell r="D311" t="e">
            <v>#REF!</v>
          </cell>
          <cell r="E311" t="e">
            <v>#REF!</v>
          </cell>
        </row>
        <row r="312">
          <cell r="A312" t="e">
            <v>#REF!</v>
          </cell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</row>
        <row r="313">
          <cell r="A313" t="e">
            <v>#REF!</v>
          </cell>
          <cell r="B313" t="e">
            <v>#REF!</v>
          </cell>
          <cell r="C313" t="e">
            <v>#REF!</v>
          </cell>
          <cell r="D313" t="e">
            <v>#REF!</v>
          </cell>
          <cell r="E313" t="e">
            <v>#REF!</v>
          </cell>
        </row>
        <row r="314">
          <cell r="A314" t="e">
            <v>#REF!</v>
          </cell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</row>
        <row r="315">
          <cell r="A315" t="e">
            <v>#REF!</v>
          </cell>
          <cell r="B315" t="e">
            <v>#REF!</v>
          </cell>
          <cell r="C315" t="e">
            <v>#REF!</v>
          </cell>
          <cell r="D315" t="e">
            <v>#REF!</v>
          </cell>
          <cell r="E315" t="e">
            <v>#REF!</v>
          </cell>
        </row>
        <row r="316">
          <cell r="A316" t="e">
            <v>#REF!</v>
          </cell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</row>
        <row r="317">
          <cell r="A317" t="e">
            <v>#REF!</v>
          </cell>
          <cell r="B317" t="e">
            <v>#REF!</v>
          </cell>
          <cell r="C317" t="e">
            <v>#REF!</v>
          </cell>
          <cell r="D317" t="e">
            <v>#REF!</v>
          </cell>
          <cell r="E317" t="e">
            <v>#REF!</v>
          </cell>
        </row>
        <row r="318">
          <cell r="A318" t="e">
            <v>#REF!</v>
          </cell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</row>
        <row r="319">
          <cell r="A319" t="e">
            <v>#REF!</v>
          </cell>
          <cell r="B319" t="e">
            <v>#REF!</v>
          </cell>
          <cell r="C319" t="e">
            <v>#REF!</v>
          </cell>
          <cell r="D319" t="e">
            <v>#REF!</v>
          </cell>
          <cell r="E319" t="e">
            <v>#REF!</v>
          </cell>
        </row>
        <row r="320">
          <cell r="A320" t="e">
            <v>#REF!</v>
          </cell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</row>
        <row r="321">
          <cell r="A321" t="e">
            <v>#REF!</v>
          </cell>
          <cell r="B321" t="e">
            <v>#REF!</v>
          </cell>
          <cell r="C321" t="e">
            <v>#REF!</v>
          </cell>
          <cell r="D321" t="e">
            <v>#REF!</v>
          </cell>
          <cell r="E321" t="e">
            <v>#REF!</v>
          </cell>
        </row>
        <row r="322">
          <cell r="A322" t="e">
            <v>#REF!</v>
          </cell>
          <cell r="B322" t="e">
            <v>#REF!</v>
          </cell>
          <cell r="C322" t="e">
            <v>#REF!</v>
          </cell>
          <cell r="D322" t="e">
            <v>#REF!</v>
          </cell>
          <cell r="E322" t="e">
            <v>#REF!</v>
          </cell>
        </row>
        <row r="323">
          <cell r="A323" t="e">
            <v>#REF!</v>
          </cell>
          <cell r="B323" t="e">
            <v>#REF!</v>
          </cell>
          <cell r="C323" t="e">
            <v>#REF!</v>
          </cell>
          <cell r="D323" t="e">
            <v>#REF!</v>
          </cell>
          <cell r="E323" t="e">
            <v>#REF!</v>
          </cell>
        </row>
        <row r="324">
          <cell r="A324" t="e">
            <v>#REF!</v>
          </cell>
          <cell r="B324" t="e">
            <v>#REF!</v>
          </cell>
          <cell r="C324" t="e">
            <v>#REF!</v>
          </cell>
          <cell r="D324" t="e">
            <v>#REF!</v>
          </cell>
          <cell r="E324" t="e">
            <v>#REF!</v>
          </cell>
        </row>
        <row r="325">
          <cell r="A325" t="e">
            <v>#REF!</v>
          </cell>
          <cell r="B325" t="e">
            <v>#REF!</v>
          </cell>
          <cell r="C325" t="e">
            <v>#REF!</v>
          </cell>
          <cell r="D325" t="e">
            <v>#REF!</v>
          </cell>
          <cell r="E325" t="e">
            <v>#REF!</v>
          </cell>
        </row>
        <row r="326">
          <cell r="A326" t="e">
            <v>#REF!</v>
          </cell>
          <cell r="B326" t="e">
            <v>#REF!</v>
          </cell>
          <cell r="C326" t="e">
            <v>#REF!</v>
          </cell>
          <cell r="D326" t="e">
            <v>#REF!</v>
          </cell>
          <cell r="E326" t="e">
            <v>#REF!</v>
          </cell>
        </row>
        <row r="327">
          <cell r="A327" t="e">
            <v>#REF!</v>
          </cell>
          <cell r="B327" t="e">
            <v>#REF!</v>
          </cell>
          <cell r="C327" t="e">
            <v>#REF!</v>
          </cell>
          <cell r="D327" t="e">
            <v>#REF!</v>
          </cell>
          <cell r="E327" t="e">
            <v>#REF!</v>
          </cell>
        </row>
        <row r="328">
          <cell r="A328" t="e">
            <v>#REF!</v>
          </cell>
          <cell r="B328" t="e">
            <v>#REF!</v>
          </cell>
          <cell r="C328" t="e">
            <v>#REF!</v>
          </cell>
          <cell r="D328" t="e">
            <v>#REF!</v>
          </cell>
          <cell r="E328" t="e">
            <v>#REF!</v>
          </cell>
        </row>
        <row r="329">
          <cell r="A329" t="e">
            <v>#REF!</v>
          </cell>
          <cell r="B329" t="e">
            <v>#REF!</v>
          </cell>
          <cell r="C329" t="e">
            <v>#REF!</v>
          </cell>
          <cell r="D329" t="e">
            <v>#REF!</v>
          </cell>
          <cell r="E329" t="e">
            <v>#REF!</v>
          </cell>
        </row>
        <row r="330">
          <cell r="A330" t="e">
            <v>#REF!</v>
          </cell>
          <cell r="B330" t="e">
            <v>#REF!</v>
          </cell>
          <cell r="C330" t="e">
            <v>#REF!</v>
          </cell>
          <cell r="D330" t="e">
            <v>#REF!</v>
          </cell>
          <cell r="E330" t="e">
            <v>#REF!</v>
          </cell>
        </row>
        <row r="331">
          <cell r="A331" t="e">
            <v>#REF!</v>
          </cell>
          <cell r="B331" t="e">
            <v>#REF!</v>
          </cell>
          <cell r="C331" t="e">
            <v>#REF!</v>
          </cell>
          <cell r="D331" t="e">
            <v>#REF!</v>
          </cell>
          <cell r="E331" t="e">
            <v>#REF!</v>
          </cell>
        </row>
        <row r="332">
          <cell r="A332" t="e">
            <v>#REF!</v>
          </cell>
          <cell r="B332" t="e">
            <v>#REF!</v>
          </cell>
          <cell r="C332" t="e">
            <v>#REF!</v>
          </cell>
          <cell r="D332" t="e">
            <v>#REF!</v>
          </cell>
          <cell r="E332" t="e">
            <v>#REF!</v>
          </cell>
        </row>
        <row r="333">
          <cell r="A333" t="e">
            <v>#REF!</v>
          </cell>
          <cell r="B333" t="e">
            <v>#REF!</v>
          </cell>
          <cell r="C333" t="e">
            <v>#REF!</v>
          </cell>
          <cell r="D333" t="e">
            <v>#REF!</v>
          </cell>
          <cell r="E333" t="e">
            <v>#REF!</v>
          </cell>
        </row>
        <row r="334">
          <cell r="A334" t="e">
            <v>#REF!</v>
          </cell>
          <cell r="B334" t="e">
            <v>#REF!</v>
          </cell>
          <cell r="C334" t="e">
            <v>#REF!</v>
          </cell>
          <cell r="D334" t="e">
            <v>#REF!</v>
          </cell>
          <cell r="E334" t="e">
            <v>#REF!</v>
          </cell>
        </row>
        <row r="335">
          <cell r="A335" t="e">
            <v>#REF!</v>
          </cell>
          <cell r="B335" t="e">
            <v>#REF!</v>
          </cell>
          <cell r="C335" t="e">
            <v>#REF!</v>
          </cell>
          <cell r="D335" t="e">
            <v>#REF!</v>
          </cell>
          <cell r="E335" t="e">
            <v>#REF!</v>
          </cell>
        </row>
        <row r="336">
          <cell r="A336" t="e">
            <v>#REF!</v>
          </cell>
          <cell r="B336" t="e">
            <v>#REF!</v>
          </cell>
          <cell r="C336" t="e">
            <v>#REF!</v>
          </cell>
          <cell r="D336" t="e">
            <v>#REF!</v>
          </cell>
          <cell r="E336" t="e">
            <v>#REF!</v>
          </cell>
        </row>
        <row r="337">
          <cell r="A337" t="e">
            <v>#REF!</v>
          </cell>
          <cell r="B337" t="e">
            <v>#REF!</v>
          </cell>
          <cell r="C337" t="e">
            <v>#REF!</v>
          </cell>
          <cell r="D337" t="e">
            <v>#REF!</v>
          </cell>
          <cell r="E337" t="e">
            <v>#REF!</v>
          </cell>
        </row>
        <row r="338">
          <cell r="A338" t="e">
            <v>#REF!</v>
          </cell>
          <cell r="B338" t="e">
            <v>#REF!</v>
          </cell>
          <cell r="C338" t="e">
            <v>#REF!</v>
          </cell>
          <cell r="D338" t="e">
            <v>#REF!</v>
          </cell>
          <cell r="E338" t="e">
            <v>#REF!</v>
          </cell>
        </row>
        <row r="339">
          <cell r="A339" t="e">
            <v>#REF!</v>
          </cell>
          <cell r="B339" t="e">
            <v>#REF!</v>
          </cell>
          <cell r="C339" t="e">
            <v>#REF!</v>
          </cell>
          <cell r="D339" t="e">
            <v>#REF!</v>
          </cell>
          <cell r="E339" t="e">
            <v>#REF!</v>
          </cell>
        </row>
        <row r="340">
          <cell r="A340" t="e">
            <v>#REF!</v>
          </cell>
          <cell r="B340" t="e">
            <v>#REF!</v>
          </cell>
          <cell r="C340" t="e">
            <v>#REF!</v>
          </cell>
          <cell r="D340" t="e">
            <v>#REF!</v>
          </cell>
          <cell r="E340" t="e">
            <v>#REF!</v>
          </cell>
        </row>
        <row r="341">
          <cell r="A341" t="e">
            <v>#REF!</v>
          </cell>
          <cell r="B341" t="e">
            <v>#REF!</v>
          </cell>
          <cell r="C341" t="e">
            <v>#REF!</v>
          </cell>
          <cell r="D341" t="e">
            <v>#REF!</v>
          </cell>
          <cell r="E341" t="e">
            <v>#REF!</v>
          </cell>
        </row>
        <row r="342">
          <cell r="A342" t="e">
            <v>#REF!</v>
          </cell>
          <cell r="B342" t="e">
            <v>#REF!</v>
          </cell>
          <cell r="C342" t="e">
            <v>#REF!</v>
          </cell>
          <cell r="D342" t="e">
            <v>#REF!</v>
          </cell>
          <cell r="E342" t="e">
            <v>#REF!</v>
          </cell>
        </row>
        <row r="343">
          <cell r="A343" t="e">
            <v>#REF!</v>
          </cell>
          <cell r="B343" t="e">
            <v>#REF!</v>
          </cell>
          <cell r="C343" t="e">
            <v>#REF!</v>
          </cell>
          <cell r="D343" t="e">
            <v>#REF!</v>
          </cell>
          <cell r="E343" t="e">
            <v>#REF!</v>
          </cell>
        </row>
        <row r="344">
          <cell r="A344" t="e">
            <v>#REF!</v>
          </cell>
          <cell r="B344" t="e">
            <v>#REF!</v>
          </cell>
          <cell r="C344" t="e">
            <v>#REF!</v>
          </cell>
          <cell r="D344" t="e">
            <v>#REF!</v>
          </cell>
          <cell r="E344" t="e">
            <v>#REF!</v>
          </cell>
        </row>
        <row r="345">
          <cell r="A345" t="e">
            <v>#REF!</v>
          </cell>
          <cell r="B345" t="e">
            <v>#REF!</v>
          </cell>
          <cell r="C345" t="e">
            <v>#REF!</v>
          </cell>
          <cell r="D345" t="e">
            <v>#REF!</v>
          </cell>
          <cell r="E345" t="e">
            <v>#REF!</v>
          </cell>
        </row>
        <row r="346">
          <cell r="A346" t="e">
            <v>#REF!</v>
          </cell>
          <cell r="B346" t="e">
            <v>#REF!</v>
          </cell>
          <cell r="C346" t="e">
            <v>#REF!</v>
          </cell>
          <cell r="D346" t="e">
            <v>#REF!</v>
          </cell>
          <cell r="E346" t="e">
            <v>#REF!</v>
          </cell>
        </row>
        <row r="347">
          <cell r="A347" t="e">
            <v>#REF!</v>
          </cell>
          <cell r="B347" t="e">
            <v>#REF!</v>
          </cell>
          <cell r="C347" t="e">
            <v>#REF!</v>
          </cell>
          <cell r="D347" t="e">
            <v>#REF!</v>
          </cell>
          <cell r="E347" t="e">
            <v>#REF!</v>
          </cell>
        </row>
        <row r="348">
          <cell r="A348" t="e">
            <v>#REF!</v>
          </cell>
          <cell r="B348" t="e">
            <v>#REF!</v>
          </cell>
          <cell r="C348" t="e">
            <v>#REF!</v>
          </cell>
          <cell r="D348" t="e">
            <v>#REF!</v>
          </cell>
          <cell r="E348" t="e">
            <v>#REF!</v>
          </cell>
        </row>
        <row r="349">
          <cell r="A349" t="e">
            <v>#REF!</v>
          </cell>
          <cell r="B349" t="e">
            <v>#REF!</v>
          </cell>
          <cell r="C349" t="e">
            <v>#REF!</v>
          </cell>
          <cell r="D349" t="e">
            <v>#REF!</v>
          </cell>
          <cell r="E349" t="e">
            <v>#REF!</v>
          </cell>
        </row>
        <row r="350">
          <cell r="A350" t="e">
            <v>#REF!</v>
          </cell>
          <cell r="B350" t="e">
            <v>#REF!</v>
          </cell>
          <cell r="C350" t="e">
            <v>#REF!</v>
          </cell>
          <cell r="D350" t="e">
            <v>#REF!</v>
          </cell>
          <cell r="E350" t="e">
            <v>#REF!</v>
          </cell>
        </row>
        <row r="351">
          <cell r="A351" t="e">
            <v>#REF!</v>
          </cell>
          <cell r="B351" t="e">
            <v>#REF!</v>
          </cell>
          <cell r="C351" t="e">
            <v>#REF!</v>
          </cell>
          <cell r="D351" t="e">
            <v>#REF!</v>
          </cell>
          <cell r="E351" t="e">
            <v>#REF!</v>
          </cell>
        </row>
        <row r="352">
          <cell r="A352" t="e">
            <v>#REF!</v>
          </cell>
          <cell r="B352" t="e">
            <v>#REF!</v>
          </cell>
          <cell r="C352" t="e">
            <v>#REF!</v>
          </cell>
          <cell r="D352" t="e">
            <v>#REF!</v>
          </cell>
          <cell r="E352" t="e">
            <v>#REF!</v>
          </cell>
        </row>
        <row r="353">
          <cell r="A353" t="e">
            <v>#REF!</v>
          </cell>
          <cell r="B353" t="e">
            <v>#REF!</v>
          </cell>
          <cell r="C353" t="e">
            <v>#REF!</v>
          </cell>
          <cell r="D353" t="e">
            <v>#REF!</v>
          </cell>
          <cell r="E353" t="e">
            <v>#REF!</v>
          </cell>
        </row>
        <row r="354">
          <cell r="A354" t="e">
            <v>#REF!</v>
          </cell>
          <cell r="B354" t="e">
            <v>#REF!</v>
          </cell>
          <cell r="C354" t="e">
            <v>#REF!</v>
          </cell>
          <cell r="D354" t="e">
            <v>#REF!</v>
          </cell>
          <cell r="E354" t="e">
            <v>#REF!</v>
          </cell>
        </row>
        <row r="355">
          <cell r="A355" t="e">
            <v>#REF!</v>
          </cell>
          <cell r="B355" t="e">
            <v>#REF!</v>
          </cell>
          <cell r="C355" t="e">
            <v>#REF!</v>
          </cell>
          <cell r="D355" t="e">
            <v>#REF!</v>
          </cell>
          <cell r="E355" t="e">
            <v>#REF!</v>
          </cell>
        </row>
        <row r="356">
          <cell r="A356" t="e">
            <v>#REF!</v>
          </cell>
          <cell r="B356" t="e">
            <v>#REF!</v>
          </cell>
          <cell r="C356" t="e">
            <v>#REF!</v>
          </cell>
          <cell r="D356" t="e">
            <v>#REF!</v>
          </cell>
          <cell r="E356" t="e">
            <v>#REF!</v>
          </cell>
        </row>
        <row r="357">
          <cell r="A357" t="e">
            <v>#REF!</v>
          </cell>
          <cell r="B357" t="e">
            <v>#REF!</v>
          </cell>
          <cell r="C357" t="e">
            <v>#REF!</v>
          </cell>
          <cell r="D357" t="e">
            <v>#REF!</v>
          </cell>
          <cell r="E357" t="e">
            <v>#REF!</v>
          </cell>
        </row>
        <row r="358">
          <cell r="A358" t="e">
            <v>#REF!</v>
          </cell>
          <cell r="B358" t="e">
            <v>#REF!</v>
          </cell>
          <cell r="C358" t="e">
            <v>#REF!</v>
          </cell>
          <cell r="D358" t="e">
            <v>#REF!</v>
          </cell>
          <cell r="E358" t="e">
            <v>#REF!</v>
          </cell>
        </row>
        <row r="359">
          <cell r="A359" t="e">
            <v>#REF!</v>
          </cell>
          <cell r="B359" t="e">
            <v>#REF!</v>
          </cell>
          <cell r="C359" t="e">
            <v>#REF!</v>
          </cell>
          <cell r="D359" t="e">
            <v>#REF!</v>
          </cell>
          <cell r="E359" t="e">
            <v>#REF!</v>
          </cell>
        </row>
        <row r="360">
          <cell r="A360" t="e">
            <v>#REF!</v>
          </cell>
          <cell r="B360" t="e">
            <v>#REF!</v>
          </cell>
          <cell r="C360" t="e">
            <v>#REF!</v>
          </cell>
          <cell r="D360" t="e">
            <v>#REF!</v>
          </cell>
          <cell r="E360" t="e">
            <v>#REF!</v>
          </cell>
        </row>
        <row r="361">
          <cell r="A361" t="e">
            <v>#REF!</v>
          </cell>
          <cell r="B361" t="e">
            <v>#REF!</v>
          </cell>
          <cell r="C361" t="e">
            <v>#REF!</v>
          </cell>
          <cell r="D361" t="e">
            <v>#REF!</v>
          </cell>
          <cell r="E361" t="e">
            <v>#REF!</v>
          </cell>
        </row>
        <row r="362">
          <cell r="A362" t="e">
            <v>#REF!</v>
          </cell>
          <cell r="B362" t="e">
            <v>#REF!</v>
          </cell>
          <cell r="C362" t="e">
            <v>#REF!</v>
          </cell>
          <cell r="D362" t="e">
            <v>#REF!</v>
          </cell>
          <cell r="E362" t="e">
            <v>#REF!</v>
          </cell>
        </row>
        <row r="363">
          <cell r="A363" t="e">
            <v>#REF!</v>
          </cell>
          <cell r="B363" t="e">
            <v>#REF!</v>
          </cell>
          <cell r="C363" t="e">
            <v>#REF!</v>
          </cell>
          <cell r="D363" t="e">
            <v>#REF!</v>
          </cell>
          <cell r="E363" t="e">
            <v>#REF!</v>
          </cell>
        </row>
        <row r="364">
          <cell r="A364" t="e">
            <v>#REF!</v>
          </cell>
          <cell r="B364" t="e">
            <v>#REF!</v>
          </cell>
          <cell r="C364" t="e">
            <v>#REF!</v>
          </cell>
          <cell r="D364" t="e">
            <v>#REF!</v>
          </cell>
          <cell r="E364" t="e">
            <v>#REF!</v>
          </cell>
        </row>
        <row r="365">
          <cell r="A365" t="e">
            <v>#REF!</v>
          </cell>
          <cell r="B365" t="e">
            <v>#REF!</v>
          </cell>
          <cell r="C365" t="e">
            <v>#REF!</v>
          </cell>
          <cell r="D365" t="e">
            <v>#REF!</v>
          </cell>
          <cell r="E365" t="e">
            <v>#REF!</v>
          </cell>
        </row>
        <row r="366">
          <cell r="A366" t="e">
            <v>#REF!</v>
          </cell>
          <cell r="B366" t="e">
            <v>#REF!</v>
          </cell>
          <cell r="C366" t="e">
            <v>#REF!</v>
          </cell>
          <cell r="D366" t="e">
            <v>#REF!</v>
          </cell>
          <cell r="E366" t="e">
            <v>#REF!</v>
          </cell>
        </row>
        <row r="367">
          <cell r="A367" t="e">
            <v>#REF!</v>
          </cell>
          <cell r="B367" t="e">
            <v>#REF!</v>
          </cell>
          <cell r="C367" t="e">
            <v>#REF!</v>
          </cell>
          <cell r="D367" t="e">
            <v>#REF!</v>
          </cell>
          <cell r="E367" t="e">
            <v>#REF!</v>
          </cell>
        </row>
        <row r="368">
          <cell r="A368" t="e">
            <v>#REF!</v>
          </cell>
          <cell r="B368" t="e">
            <v>#REF!</v>
          </cell>
          <cell r="C368" t="e">
            <v>#REF!</v>
          </cell>
          <cell r="D368" t="e">
            <v>#REF!</v>
          </cell>
          <cell r="E368" t="e">
            <v>#REF!</v>
          </cell>
        </row>
        <row r="369">
          <cell r="A369" t="e">
            <v>#REF!</v>
          </cell>
          <cell r="B369" t="e">
            <v>#REF!</v>
          </cell>
          <cell r="C369" t="e">
            <v>#REF!</v>
          </cell>
          <cell r="D369" t="e">
            <v>#REF!</v>
          </cell>
          <cell r="E369" t="e">
            <v>#REF!</v>
          </cell>
        </row>
        <row r="370">
          <cell r="A370" t="e">
            <v>#REF!</v>
          </cell>
          <cell r="B370" t="e">
            <v>#REF!</v>
          </cell>
          <cell r="C370" t="e">
            <v>#REF!</v>
          </cell>
          <cell r="D370" t="e">
            <v>#REF!</v>
          </cell>
          <cell r="E370" t="e">
            <v>#REF!</v>
          </cell>
        </row>
        <row r="371">
          <cell r="A371" t="e">
            <v>#REF!</v>
          </cell>
          <cell r="B371" t="e">
            <v>#REF!</v>
          </cell>
          <cell r="C371" t="e">
            <v>#REF!</v>
          </cell>
          <cell r="D371" t="e">
            <v>#REF!</v>
          </cell>
          <cell r="E371" t="e">
            <v>#REF!</v>
          </cell>
        </row>
        <row r="372">
          <cell r="A372" t="e">
            <v>#REF!</v>
          </cell>
          <cell r="B372" t="e">
            <v>#REF!</v>
          </cell>
          <cell r="C372" t="e">
            <v>#REF!</v>
          </cell>
          <cell r="D372" t="e">
            <v>#REF!</v>
          </cell>
          <cell r="E372" t="e">
            <v>#REF!</v>
          </cell>
        </row>
        <row r="373">
          <cell r="A373" t="e">
            <v>#REF!</v>
          </cell>
          <cell r="B373" t="e">
            <v>#REF!</v>
          </cell>
          <cell r="C373" t="e">
            <v>#REF!</v>
          </cell>
          <cell r="D373" t="e">
            <v>#REF!</v>
          </cell>
          <cell r="E373" t="e">
            <v>#REF!</v>
          </cell>
        </row>
        <row r="374">
          <cell r="A374" t="e">
            <v>#REF!</v>
          </cell>
          <cell r="B374" t="e">
            <v>#REF!</v>
          </cell>
          <cell r="C374" t="e">
            <v>#REF!</v>
          </cell>
          <cell r="D374" t="e">
            <v>#REF!</v>
          </cell>
          <cell r="E374" t="e">
            <v>#REF!</v>
          </cell>
        </row>
        <row r="375">
          <cell r="A375" t="e">
            <v>#REF!</v>
          </cell>
          <cell r="B375" t="e">
            <v>#REF!</v>
          </cell>
          <cell r="C375" t="e">
            <v>#REF!</v>
          </cell>
          <cell r="D375" t="e">
            <v>#REF!</v>
          </cell>
          <cell r="E375" t="e">
            <v>#REF!</v>
          </cell>
        </row>
        <row r="376">
          <cell r="A376" t="e">
            <v>#REF!</v>
          </cell>
          <cell r="B376" t="e">
            <v>#REF!</v>
          </cell>
          <cell r="C376" t="e">
            <v>#REF!</v>
          </cell>
          <cell r="D376" t="e">
            <v>#REF!</v>
          </cell>
          <cell r="E376" t="e">
            <v>#REF!</v>
          </cell>
        </row>
        <row r="377">
          <cell r="A377" t="e">
            <v>#REF!</v>
          </cell>
          <cell r="B377" t="e">
            <v>#REF!</v>
          </cell>
          <cell r="C377" t="e">
            <v>#REF!</v>
          </cell>
          <cell r="D377" t="e">
            <v>#REF!</v>
          </cell>
          <cell r="E377" t="e">
            <v>#REF!</v>
          </cell>
        </row>
        <row r="378">
          <cell r="A378" t="e">
            <v>#REF!</v>
          </cell>
          <cell r="B378" t="e">
            <v>#REF!</v>
          </cell>
          <cell r="C378" t="e">
            <v>#REF!</v>
          </cell>
          <cell r="D378" t="e">
            <v>#REF!</v>
          </cell>
          <cell r="E378" t="e">
            <v>#REF!</v>
          </cell>
        </row>
        <row r="379">
          <cell r="A379" t="e">
            <v>#REF!</v>
          </cell>
          <cell r="B379" t="e">
            <v>#REF!</v>
          </cell>
          <cell r="C379" t="e">
            <v>#REF!</v>
          </cell>
          <cell r="D379" t="e">
            <v>#REF!</v>
          </cell>
          <cell r="E379" t="e">
            <v>#REF!</v>
          </cell>
        </row>
        <row r="380">
          <cell r="A380" t="e">
            <v>#REF!</v>
          </cell>
          <cell r="B380" t="e">
            <v>#REF!</v>
          </cell>
          <cell r="C380" t="e">
            <v>#REF!</v>
          </cell>
          <cell r="D380" t="e">
            <v>#REF!</v>
          </cell>
          <cell r="E380" t="e">
            <v>#REF!</v>
          </cell>
        </row>
        <row r="381">
          <cell r="A381" t="e">
            <v>#REF!</v>
          </cell>
          <cell r="B381" t="e">
            <v>#REF!</v>
          </cell>
          <cell r="C381" t="e">
            <v>#REF!</v>
          </cell>
          <cell r="D381" t="e">
            <v>#REF!</v>
          </cell>
          <cell r="E381" t="e">
            <v>#REF!</v>
          </cell>
        </row>
        <row r="382">
          <cell r="A382" t="e">
            <v>#REF!</v>
          </cell>
          <cell r="B382" t="e">
            <v>#REF!</v>
          </cell>
          <cell r="C382" t="e">
            <v>#REF!</v>
          </cell>
          <cell r="D382" t="e">
            <v>#REF!</v>
          </cell>
          <cell r="E382" t="e">
            <v>#REF!</v>
          </cell>
        </row>
        <row r="383">
          <cell r="A383" t="e">
            <v>#REF!</v>
          </cell>
          <cell r="B383" t="e">
            <v>#REF!</v>
          </cell>
          <cell r="C383" t="e">
            <v>#REF!</v>
          </cell>
          <cell r="D383" t="e">
            <v>#REF!</v>
          </cell>
          <cell r="E383" t="e">
            <v>#REF!</v>
          </cell>
        </row>
        <row r="384">
          <cell r="A384" t="e">
            <v>#REF!</v>
          </cell>
          <cell r="B384" t="e">
            <v>#REF!</v>
          </cell>
          <cell r="C384" t="e">
            <v>#REF!</v>
          </cell>
          <cell r="D384" t="e">
            <v>#REF!</v>
          </cell>
          <cell r="E384" t="e">
            <v>#REF!</v>
          </cell>
        </row>
        <row r="385">
          <cell r="A385" t="e">
            <v>#REF!</v>
          </cell>
          <cell r="B385" t="e">
            <v>#REF!</v>
          </cell>
          <cell r="C385" t="e">
            <v>#REF!</v>
          </cell>
          <cell r="D385" t="e">
            <v>#REF!</v>
          </cell>
          <cell r="E385" t="e">
            <v>#REF!</v>
          </cell>
        </row>
        <row r="386">
          <cell r="A386" t="e">
            <v>#REF!</v>
          </cell>
          <cell r="B386" t="e">
            <v>#REF!</v>
          </cell>
          <cell r="C386" t="e">
            <v>#REF!</v>
          </cell>
          <cell r="D386" t="e">
            <v>#REF!</v>
          </cell>
          <cell r="E386" t="e">
            <v>#REF!</v>
          </cell>
        </row>
        <row r="387">
          <cell r="A387" t="e">
            <v>#REF!</v>
          </cell>
          <cell r="B387" t="e">
            <v>#REF!</v>
          </cell>
          <cell r="C387" t="e">
            <v>#REF!</v>
          </cell>
          <cell r="D387" t="e">
            <v>#REF!</v>
          </cell>
          <cell r="E387" t="e">
            <v>#REF!</v>
          </cell>
        </row>
        <row r="388">
          <cell r="A388" t="e">
            <v>#REF!</v>
          </cell>
          <cell r="B388" t="e">
            <v>#REF!</v>
          </cell>
          <cell r="C388" t="e">
            <v>#REF!</v>
          </cell>
          <cell r="D388" t="e">
            <v>#REF!</v>
          </cell>
          <cell r="E388" t="e">
            <v>#REF!</v>
          </cell>
        </row>
        <row r="389">
          <cell r="A389" t="e">
            <v>#REF!</v>
          </cell>
          <cell r="B389" t="e">
            <v>#REF!</v>
          </cell>
          <cell r="C389" t="e">
            <v>#REF!</v>
          </cell>
          <cell r="D389" t="e">
            <v>#REF!</v>
          </cell>
          <cell r="E389" t="e">
            <v>#REF!</v>
          </cell>
        </row>
        <row r="390">
          <cell r="A390" t="e">
            <v>#REF!</v>
          </cell>
          <cell r="B390" t="e">
            <v>#REF!</v>
          </cell>
          <cell r="C390" t="e">
            <v>#REF!</v>
          </cell>
          <cell r="D390" t="e">
            <v>#REF!</v>
          </cell>
          <cell r="E390" t="e">
            <v>#REF!</v>
          </cell>
        </row>
        <row r="391">
          <cell r="A391" t="e">
            <v>#REF!</v>
          </cell>
          <cell r="B391" t="e">
            <v>#REF!</v>
          </cell>
          <cell r="C391" t="e">
            <v>#REF!</v>
          </cell>
          <cell r="D391" t="e">
            <v>#REF!</v>
          </cell>
          <cell r="E391" t="e">
            <v>#REF!</v>
          </cell>
        </row>
        <row r="392">
          <cell r="A392" t="e">
            <v>#REF!</v>
          </cell>
          <cell r="B392" t="e">
            <v>#REF!</v>
          </cell>
          <cell r="C392" t="e">
            <v>#REF!</v>
          </cell>
          <cell r="D392" t="e">
            <v>#REF!</v>
          </cell>
          <cell r="E392" t="e">
            <v>#REF!</v>
          </cell>
        </row>
        <row r="393">
          <cell r="A393" t="e">
            <v>#REF!</v>
          </cell>
          <cell r="B393" t="e">
            <v>#REF!</v>
          </cell>
          <cell r="C393" t="e">
            <v>#REF!</v>
          </cell>
          <cell r="D393" t="e">
            <v>#REF!</v>
          </cell>
          <cell r="E393" t="e">
            <v>#REF!</v>
          </cell>
        </row>
        <row r="394">
          <cell r="A394" t="e">
            <v>#REF!</v>
          </cell>
          <cell r="B394" t="e">
            <v>#REF!</v>
          </cell>
          <cell r="C394" t="e">
            <v>#REF!</v>
          </cell>
          <cell r="D394" t="e">
            <v>#REF!</v>
          </cell>
          <cell r="E394" t="e">
            <v>#REF!</v>
          </cell>
        </row>
        <row r="395">
          <cell r="A395" t="e">
            <v>#REF!</v>
          </cell>
          <cell r="B395" t="e">
            <v>#REF!</v>
          </cell>
          <cell r="C395" t="e">
            <v>#REF!</v>
          </cell>
          <cell r="D395" t="e">
            <v>#REF!</v>
          </cell>
          <cell r="E395" t="e">
            <v>#REF!</v>
          </cell>
        </row>
        <row r="396">
          <cell r="A396" t="e">
            <v>#REF!</v>
          </cell>
          <cell r="B396" t="e">
            <v>#REF!</v>
          </cell>
          <cell r="C396" t="e">
            <v>#REF!</v>
          </cell>
          <cell r="D396" t="e">
            <v>#REF!</v>
          </cell>
          <cell r="E396" t="e">
            <v>#REF!</v>
          </cell>
        </row>
        <row r="397">
          <cell r="A397" t="e">
            <v>#REF!</v>
          </cell>
          <cell r="B397" t="e">
            <v>#REF!</v>
          </cell>
          <cell r="C397" t="e">
            <v>#REF!</v>
          </cell>
          <cell r="D397" t="e">
            <v>#REF!</v>
          </cell>
          <cell r="E397" t="e">
            <v>#REF!</v>
          </cell>
        </row>
        <row r="398">
          <cell r="A398" t="e">
            <v>#REF!</v>
          </cell>
          <cell r="B398" t="e">
            <v>#REF!</v>
          </cell>
          <cell r="C398" t="e">
            <v>#REF!</v>
          </cell>
          <cell r="D398" t="e">
            <v>#REF!</v>
          </cell>
          <cell r="E398" t="e">
            <v>#REF!</v>
          </cell>
        </row>
        <row r="399">
          <cell r="A399" t="e">
            <v>#REF!</v>
          </cell>
          <cell r="B399" t="e">
            <v>#REF!</v>
          </cell>
          <cell r="C399" t="e">
            <v>#REF!</v>
          </cell>
          <cell r="D399" t="e">
            <v>#REF!</v>
          </cell>
          <cell r="E399" t="e">
            <v>#REF!</v>
          </cell>
        </row>
        <row r="400">
          <cell r="A400" t="e">
            <v>#REF!</v>
          </cell>
          <cell r="B400" t="e">
            <v>#REF!</v>
          </cell>
          <cell r="C400" t="e">
            <v>#REF!</v>
          </cell>
          <cell r="D400" t="e">
            <v>#REF!</v>
          </cell>
          <cell r="E400" t="e">
            <v>#REF!</v>
          </cell>
        </row>
        <row r="401">
          <cell r="A401" t="e">
            <v>#REF!</v>
          </cell>
          <cell r="B401" t="e">
            <v>#REF!</v>
          </cell>
          <cell r="C401" t="e">
            <v>#REF!</v>
          </cell>
          <cell r="D401" t="e">
            <v>#REF!</v>
          </cell>
          <cell r="E401" t="e">
            <v>#REF!</v>
          </cell>
        </row>
        <row r="402">
          <cell r="A402" t="e">
            <v>#REF!</v>
          </cell>
          <cell r="B402" t="e">
            <v>#REF!</v>
          </cell>
          <cell r="C402" t="e">
            <v>#REF!</v>
          </cell>
          <cell r="D402" t="e">
            <v>#REF!</v>
          </cell>
          <cell r="E402" t="e">
            <v>#REF!</v>
          </cell>
        </row>
        <row r="403">
          <cell r="A403" t="e">
            <v>#REF!</v>
          </cell>
          <cell r="B403" t="e">
            <v>#REF!</v>
          </cell>
          <cell r="C403" t="e">
            <v>#REF!</v>
          </cell>
          <cell r="D403" t="e">
            <v>#REF!</v>
          </cell>
          <cell r="E403" t="e">
            <v>#REF!</v>
          </cell>
        </row>
        <row r="404">
          <cell r="A404" t="e">
            <v>#REF!</v>
          </cell>
          <cell r="B404" t="e">
            <v>#REF!</v>
          </cell>
          <cell r="C404" t="e">
            <v>#REF!</v>
          </cell>
          <cell r="D404" t="e">
            <v>#REF!</v>
          </cell>
          <cell r="E404" t="e">
            <v>#REF!</v>
          </cell>
        </row>
        <row r="405">
          <cell r="A405" t="e">
            <v>#REF!</v>
          </cell>
          <cell r="B405" t="e">
            <v>#REF!</v>
          </cell>
          <cell r="C405" t="e">
            <v>#REF!</v>
          </cell>
          <cell r="D405" t="e">
            <v>#REF!</v>
          </cell>
          <cell r="E405" t="e">
            <v>#REF!</v>
          </cell>
        </row>
        <row r="406">
          <cell r="A406" t="e">
            <v>#REF!</v>
          </cell>
          <cell r="B406" t="e">
            <v>#REF!</v>
          </cell>
          <cell r="C406" t="e">
            <v>#REF!</v>
          </cell>
          <cell r="D406" t="e">
            <v>#REF!</v>
          </cell>
          <cell r="E406" t="e">
            <v>#REF!</v>
          </cell>
        </row>
        <row r="407">
          <cell r="A407" t="e">
            <v>#REF!</v>
          </cell>
          <cell r="B407" t="e">
            <v>#REF!</v>
          </cell>
          <cell r="C407" t="e">
            <v>#REF!</v>
          </cell>
          <cell r="D407" t="e">
            <v>#REF!</v>
          </cell>
          <cell r="E407" t="e">
            <v>#REF!</v>
          </cell>
        </row>
        <row r="408">
          <cell r="A408" t="e">
            <v>#REF!</v>
          </cell>
          <cell r="B408" t="e">
            <v>#REF!</v>
          </cell>
          <cell r="C408" t="e">
            <v>#REF!</v>
          </cell>
          <cell r="D408" t="e">
            <v>#REF!</v>
          </cell>
          <cell r="E408" t="e">
            <v>#REF!</v>
          </cell>
        </row>
        <row r="409">
          <cell r="A409" t="e">
            <v>#REF!</v>
          </cell>
          <cell r="B409" t="e">
            <v>#REF!</v>
          </cell>
          <cell r="C409" t="e">
            <v>#REF!</v>
          </cell>
          <cell r="D409" t="e">
            <v>#REF!</v>
          </cell>
          <cell r="E409" t="e">
            <v>#REF!</v>
          </cell>
        </row>
        <row r="410">
          <cell r="A410" t="e">
            <v>#REF!</v>
          </cell>
          <cell r="B410" t="e">
            <v>#REF!</v>
          </cell>
          <cell r="C410" t="e">
            <v>#REF!</v>
          </cell>
          <cell r="D410" t="e">
            <v>#REF!</v>
          </cell>
          <cell r="E410" t="e">
            <v>#REF!</v>
          </cell>
        </row>
        <row r="411">
          <cell r="A411" t="e">
            <v>#REF!</v>
          </cell>
          <cell r="B411" t="e">
            <v>#REF!</v>
          </cell>
          <cell r="C411" t="e">
            <v>#REF!</v>
          </cell>
          <cell r="D411" t="e">
            <v>#REF!</v>
          </cell>
          <cell r="E411" t="e">
            <v>#REF!</v>
          </cell>
        </row>
        <row r="412">
          <cell r="A412" t="e">
            <v>#REF!</v>
          </cell>
          <cell r="B412" t="e">
            <v>#REF!</v>
          </cell>
          <cell r="C412" t="e">
            <v>#REF!</v>
          </cell>
          <cell r="D412" t="e">
            <v>#REF!</v>
          </cell>
          <cell r="E412" t="e">
            <v>#REF!</v>
          </cell>
        </row>
        <row r="413">
          <cell r="A413" t="e">
            <v>#REF!</v>
          </cell>
          <cell r="B413" t="e">
            <v>#REF!</v>
          </cell>
          <cell r="C413" t="e">
            <v>#REF!</v>
          </cell>
          <cell r="D413" t="e">
            <v>#REF!</v>
          </cell>
          <cell r="E413" t="e">
            <v>#REF!</v>
          </cell>
        </row>
        <row r="414">
          <cell r="A414" t="e">
            <v>#REF!</v>
          </cell>
          <cell r="B414" t="e">
            <v>#REF!</v>
          </cell>
          <cell r="C414" t="e">
            <v>#REF!</v>
          </cell>
          <cell r="D414" t="e">
            <v>#REF!</v>
          </cell>
          <cell r="E414" t="e">
            <v>#REF!</v>
          </cell>
        </row>
        <row r="415">
          <cell r="A415" t="e">
            <v>#REF!</v>
          </cell>
          <cell r="B415" t="e">
            <v>#REF!</v>
          </cell>
          <cell r="C415" t="e">
            <v>#REF!</v>
          </cell>
          <cell r="D415" t="e">
            <v>#REF!</v>
          </cell>
          <cell r="E415" t="e">
            <v>#REF!</v>
          </cell>
        </row>
        <row r="416">
          <cell r="A416" t="e">
            <v>#REF!</v>
          </cell>
          <cell r="B416" t="e">
            <v>#REF!</v>
          </cell>
          <cell r="C416" t="e">
            <v>#REF!</v>
          </cell>
          <cell r="D416" t="e">
            <v>#REF!</v>
          </cell>
          <cell r="E416" t="e">
            <v>#REF!</v>
          </cell>
        </row>
        <row r="417">
          <cell r="A417" t="e">
            <v>#REF!</v>
          </cell>
          <cell r="B417" t="e">
            <v>#REF!</v>
          </cell>
          <cell r="C417" t="e">
            <v>#REF!</v>
          </cell>
          <cell r="D417" t="e">
            <v>#REF!</v>
          </cell>
          <cell r="E417" t="e">
            <v>#REF!</v>
          </cell>
        </row>
        <row r="418">
          <cell r="A418" t="e">
            <v>#REF!</v>
          </cell>
          <cell r="B418" t="e">
            <v>#REF!</v>
          </cell>
          <cell r="C418" t="e">
            <v>#REF!</v>
          </cell>
          <cell r="D418" t="e">
            <v>#REF!</v>
          </cell>
          <cell r="E418" t="e">
            <v>#REF!</v>
          </cell>
        </row>
        <row r="419">
          <cell r="A419" t="e">
            <v>#REF!</v>
          </cell>
          <cell r="B419" t="e">
            <v>#REF!</v>
          </cell>
          <cell r="C419" t="e">
            <v>#REF!</v>
          </cell>
          <cell r="D419" t="e">
            <v>#REF!</v>
          </cell>
          <cell r="E419" t="e">
            <v>#REF!</v>
          </cell>
        </row>
        <row r="420">
          <cell r="A420" t="e">
            <v>#REF!</v>
          </cell>
          <cell r="B420" t="e">
            <v>#REF!</v>
          </cell>
          <cell r="C420" t="e">
            <v>#REF!</v>
          </cell>
          <cell r="D420" t="e">
            <v>#REF!</v>
          </cell>
          <cell r="E420" t="e">
            <v>#REF!</v>
          </cell>
        </row>
        <row r="421">
          <cell r="A421" t="e">
            <v>#REF!</v>
          </cell>
          <cell r="B421" t="e">
            <v>#REF!</v>
          </cell>
          <cell r="C421" t="e">
            <v>#REF!</v>
          </cell>
          <cell r="D421" t="e">
            <v>#REF!</v>
          </cell>
          <cell r="E421" t="e">
            <v>#REF!</v>
          </cell>
        </row>
        <row r="422">
          <cell r="A422" t="e">
            <v>#REF!</v>
          </cell>
          <cell r="B422" t="e">
            <v>#REF!</v>
          </cell>
          <cell r="C422" t="e">
            <v>#REF!</v>
          </cell>
          <cell r="D422" t="e">
            <v>#REF!</v>
          </cell>
          <cell r="E422" t="e">
            <v>#REF!</v>
          </cell>
        </row>
        <row r="423">
          <cell r="A423" t="e">
            <v>#REF!</v>
          </cell>
          <cell r="B423" t="e">
            <v>#REF!</v>
          </cell>
          <cell r="C423" t="e">
            <v>#REF!</v>
          </cell>
          <cell r="D423" t="e">
            <v>#REF!</v>
          </cell>
          <cell r="E423" t="e">
            <v>#REF!</v>
          </cell>
        </row>
        <row r="424">
          <cell r="A424" t="e">
            <v>#REF!</v>
          </cell>
          <cell r="B424" t="e">
            <v>#REF!</v>
          </cell>
          <cell r="C424" t="e">
            <v>#REF!</v>
          </cell>
          <cell r="D424" t="e">
            <v>#REF!</v>
          </cell>
          <cell r="E424" t="e">
            <v>#REF!</v>
          </cell>
        </row>
        <row r="425">
          <cell r="A425" t="e">
            <v>#REF!</v>
          </cell>
          <cell r="B425" t="e">
            <v>#REF!</v>
          </cell>
          <cell r="C425" t="e">
            <v>#REF!</v>
          </cell>
          <cell r="D425" t="e">
            <v>#REF!</v>
          </cell>
          <cell r="E425" t="e">
            <v>#REF!</v>
          </cell>
        </row>
        <row r="426">
          <cell r="A426" t="e">
            <v>#REF!</v>
          </cell>
          <cell r="B426" t="e">
            <v>#REF!</v>
          </cell>
          <cell r="C426" t="e">
            <v>#REF!</v>
          </cell>
          <cell r="D426" t="e">
            <v>#REF!</v>
          </cell>
          <cell r="E426" t="e">
            <v>#REF!</v>
          </cell>
        </row>
        <row r="427">
          <cell r="A427" t="e">
            <v>#REF!</v>
          </cell>
          <cell r="B427" t="e">
            <v>#REF!</v>
          </cell>
          <cell r="C427" t="e">
            <v>#REF!</v>
          </cell>
          <cell r="D427" t="e">
            <v>#REF!</v>
          </cell>
          <cell r="E427" t="e">
            <v>#REF!</v>
          </cell>
        </row>
        <row r="428">
          <cell r="A428" t="e">
            <v>#REF!</v>
          </cell>
          <cell r="B428" t="e">
            <v>#REF!</v>
          </cell>
          <cell r="C428" t="e">
            <v>#REF!</v>
          </cell>
          <cell r="D428" t="e">
            <v>#REF!</v>
          </cell>
          <cell r="E428" t="e">
            <v>#REF!</v>
          </cell>
        </row>
        <row r="429">
          <cell r="A429" t="e">
            <v>#REF!</v>
          </cell>
          <cell r="B429" t="e">
            <v>#REF!</v>
          </cell>
          <cell r="C429" t="e">
            <v>#REF!</v>
          </cell>
          <cell r="D429" t="e">
            <v>#REF!</v>
          </cell>
          <cell r="E429" t="e">
            <v>#REF!</v>
          </cell>
        </row>
        <row r="430">
          <cell r="A430" t="e">
            <v>#REF!</v>
          </cell>
          <cell r="B430" t="e">
            <v>#REF!</v>
          </cell>
          <cell r="C430" t="e">
            <v>#REF!</v>
          </cell>
          <cell r="D430" t="e">
            <v>#REF!</v>
          </cell>
          <cell r="E430" t="e">
            <v>#REF!</v>
          </cell>
        </row>
        <row r="431">
          <cell r="A431" t="e">
            <v>#REF!</v>
          </cell>
          <cell r="B431" t="e">
            <v>#REF!</v>
          </cell>
          <cell r="C431" t="e">
            <v>#REF!</v>
          </cell>
          <cell r="D431" t="e">
            <v>#REF!</v>
          </cell>
          <cell r="E431" t="e">
            <v>#REF!</v>
          </cell>
        </row>
        <row r="432">
          <cell r="A432" t="e">
            <v>#REF!</v>
          </cell>
          <cell r="B432" t="e">
            <v>#REF!</v>
          </cell>
          <cell r="C432" t="e">
            <v>#REF!</v>
          </cell>
          <cell r="D432" t="e">
            <v>#REF!</v>
          </cell>
          <cell r="E432" t="e">
            <v>#REF!</v>
          </cell>
        </row>
        <row r="433">
          <cell r="A433" t="e">
            <v>#REF!</v>
          </cell>
          <cell r="B433" t="e">
            <v>#REF!</v>
          </cell>
          <cell r="C433" t="e">
            <v>#REF!</v>
          </cell>
          <cell r="D433" t="e">
            <v>#REF!</v>
          </cell>
          <cell r="E433" t="e">
            <v>#REF!</v>
          </cell>
        </row>
        <row r="434">
          <cell r="A434" t="e">
            <v>#REF!</v>
          </cell>
          <cell r="B434" t="e">
            <v>#REF!</v>
          </cell>
          <cell r="C434" t="e">
            <v>#REF!</v>
          </cell>
          <cell r="D434" t="e">
            <v>#REF!</v>
          </cell>
          <cell r="E434" t="e">
            <v>#REF!</v>
          </cell>
        </row>
        <row r="435">
          <cell r="A435" t="e">
            <v>#REF!</v>
          </cell>
          <cell r="B435" t="e">
            <v>#REF!</v>
          </cell>
          <cell r="C435" t="e">
            <v>#REF!</v>
          </cell>
          <cell r="D435" t="e">
            <v>#REF!</v>
          </cell>
          <cell r="E435" t="e">
            <v>#REF!</v>
          </cell>
        </row>
        <row r="436">
          <cell r="A436" t="e">
            <v>#REF!</v>
          </cell>
          <cell r="B436" t="e">
            <v>#REF!</v>
          </cell>
          <cell r="C436" t="e">
            <v>#REF!</v>
          </cell>
          <cell r="D436" t="e">
            <v>#REF!</v>
          </cell>
          <cell r="E436" t="e">
            <v>#REF!</v>
          </cell>
        </row>
        <row r="437">
          <cell r="A437" t="e">
            <v>#REF!</v>
          </cell>
          <cell r="B437" t="e">
            <v>#REF!</v>
          </cell>
          <cell r="C437" t="e">
            <v>#REF!</v>
          </cell>
          <cell r="D437" t="e">
            <v>#REF!</v>
          </cell>
          <cell r="E437" t="e">
            <v>#REF!</v>
          </cell>
        </row>
        <row r="438">
          <cell r="A438" t="e">
            <v>#REF!</v>
          </cell>
          <cell r="B438" t="e">
            <v>#REF!</v>
          </cell>
          <cell r="C438" t="e">
            <v>#REF!</v>
          </cell>
          <cell r="D438" t="e">
            <v>#REF!</v>
          </cell>
          <cell r="E438" t="e">
            <v>#REF!</v>
          </cell>
        </row>
        <row r="439">
          <cell r="A439" t="e">
            <v>#REF!</v>
          </cell>
          <cell r="B439" t="e">
            <v>#REF!</v>
          </cell>
          <cell r="C439" t="e">
            <v>#REF!</v>
          </cell>
          <cell r="D439" t="e">
            <v>#REF!</v>
          </cell>
          <cell r="E439" t="e">
            <v>#REF!</v>
          </cell>
        </row>
        <row r="440">
          <cell r="A440" t="e">
            <v>#REF!</v>
          </cell>
          <cell r="B440" t="e">
            <v>#REF!</v>
          </cell>
          <cell r="C440" t="e">
            <v>#REF!</v>
          </cell>
          <cell r="D440" t="e">
            <v>#REF!</v>
          </cell>
          <cell r="E440" t="e">
            <v>#REF!</v>
          </cell>
        </row>
        <row r="441">
          <cell r="A441" t="e">
            <v>#REF!</v>
          </cell>
          <cell r="B441" t="e">
            <v>#REF!</v>
          </cell>
          <cell r="C441" t="e">
            <v>#REF!</v>
          </cell>
          <cell r="D441" t="e">
            <v>#REF!</v>
          </cell>
          <cell r="E441" t="e">
            <v>#REF!</v>
          </cell>
        </row>
        <row r="442">
          <cell r="A442" t="e">
            <v>#REF!</v>
          </cell>
          <cell r="B442" t="e">
            <v>#REF!</v>
          </cell>
          <cell r="C442" t="e">
            <v>#REF!</v>
          </cell>
          <cell r="D442" t="e">
            <v>#REF!</v>
          </cell>
          <cell r="E442" t="e">
            <v>#REF!</v>
          </cell>
        </row>
        <row r="443">
          <cell r="A443" t="e">
            <v>#REF!</v>
          </cell>
          <cell r="B443" t="e">
            <v>#REF!</v>
          </cell>
          <cell r="C443" t="e">
            <v>#REF!</v>
          </cell>
          <cell r="D443" t="e">
            <v>#REF!</v>
          </cell>
          <cell r="E443" t="e">
            <v>#REF!</v>
          </cell>
        </row>
        <row r="444">
          <cell r="A444" t="e">
            <v>#REF!</v>
          </cell>
          <cell r="B444" t="e">
            <v>#REF!</v>
          </cell>
          <cell r="C444" t="e">
            <v>#REF!</v>
          </cell>
          <cell r="D444" t="e">
            <v>#REF!</v>
          </cell>
          <cell r="E444" t="e">
            <v>#REF!</v>
          </cell>
        </row>
        <row r="445">
          <cell r="A445" t="e">
            <v>#REF!</v>
          </cell>
          <cell r="B445" t="e">
            <v>#REF!</v>
          </cell>
          <cell r="C445" t="e">
            <v>#REF!</v>
          </cell>
          <cell r="D445" t="e">
            <v>#REF!</v>
          </cell>
          <cell r="E445" t="e">
            <v>#REF!</v>
          </cell>
        </row>
        <row r="446">
          <cell r="A446" t="e">
            <v>#REF!</v>
          </cell>
          <cell r="B446" t="e">
            <v>#REF!</v>
          </cell>
          <cell r="C446" t="e">
            <v>#REF!</v>
          </cell>
          <cell r="D446" t="e">
            <v>#REF!</v>
          </cell>
          <cell r="E446" t="e">
            <v>#REF!</v>
          </cell>
        </row>
        <row r="447">
          <cell r="A447" t="e">
            <v>#REF!</v>
          </cell>
          <cell r="B447" t="e">
            <v>#REF!</v>
          </cell>
          <cell r="C447" t="e">
            <v>#REF!</v>
          </cell>
          <cell r="D447" t="e">
            <v>#REF!</v>
          </cell>
          <cell r="E447" t="e">
            <v>#REF!</v>
          </cell>
        </row>
        <row r="448">
          <cell r="A448" t="e">
            <v>#REF!</v>
          </cell>
          <cell r="B448" t="e">
            <v>#REF!</v>
          </cell>
          <cell r="C448" t="e">
            <v>#REF!</v>
          </cell>
          <cell r="D448" t="e">
            <v>#REF!</v>
          </cell>
          <cell r="E448" t="e">
            <v>#REF!</v>
          </cell>
        </row>
        <row r="449">
          <cell r="A449" t="e">
            <v>#REF!</v>
          </cell>
          <cell r="B449" t="e">
            <v>#REF!</v>
          </cell>
          <cell r="C449" t="e">
            <v>#REF!</v>
          </cell>
          <cell r="D449" t="e">
            <v>#REF!</v>
          </cell>
          <cell r="E449" t="e">
            <v>#REF!</v>
          </cell>
        </row>
        <row r="450">
          <cell r="A450" t="e">
            <v>#REF!</v>
          </cell>
          <cell r="B450" t="e">
            <v>#REF!</v>
          </cell>
          <cell r="C450" t="e">
            <v>#REF!</v>
          </cell>
          <cell r="D450" t="e">
            <v>#REF!</v>
          </cell>
          <cell r="E450" t="e">
            <v>#REF!</v>
          </cell>
        </row>
        <row r="451">
          <cell r="A451" t="e">
            <v>#REF!</v>
          </cell>
          <cell r="B451" t="e">
            <v>#REF!</v>
          </cell>
          <cell r="C451" t="e">
            <v>#REF!</v>
          </cell>
          <cell r="D451" t="e">
            <v>#REF!</v>
          </cell>
          <cell r="E451" t="e">
            <v>#REF!</v>
          </cell>
        </row>
        <row r="452">
          <cell r="A452" t="e">
            <v>#REF!</v>
          </cell>
          <cell r="B452" t="e">
            <v>#REF!</v>
          </cell>
          <cell r="C452" t="e">
            <v>#REF!</v>
          </cell>
          <cell r="D452" t="e">
            <v>#REF!</v>
          </cell>
          <cell r="E452" t="e">
            <v>#REF!</v>
          </cell>
        </row>
        <row r="453">
          <cell r="A453" t="e">
            <v>#REF!</v>
          </cell>
          <cell r="B453" t="e">
            <v>#REF!</v>
          </cell>
          <cell r="C453" t="e">
            <v>#REF!</v>
          </cell>
          <cell r="D453" t="e">
            <v>#REF!</v>
          </cell>
          <cell r="E453" t="e">
            <v>#REF!</v>
          </cell>
        </row>
        <row r="454">
          <cell r="A454" t="e">
            <v>#REF!</v>
          </cell>
          <cell r="B454" t="e">
            <v>#REF!</v>
          </cell>
          <cell r="C454" t="e">
            <v>#REF!</v>
          </cell>
          <cell r="D454" t="e">
            <v>#REF!</v>
          </cell>
          <cell r="E454" t="e">
            <v>#REF!</v>
          </cell>
        </row>
        <row r="455">
          <cell r="A455" t="e">
            <v>#REF!</v>
          </cell>
          <cell r="B455" t="e">
            <v>#REF!</v>
          </cell>
          <cell r="C455" t="e">
            <v>#REF!</v>
          </cell>
          <cell r="D455" t="e">
            <v>#REF!</v>
          </cell>
          <cell r="E455" t="e">
            <v>#REF!</v>
          </cell>
        </row>
        <row r="456">
          <cell r="A456" t="e">
            <v>#REF!</v>
          </cell>
          <cell r="B456" t="e">
            <v>#REF!</v>
          </cell>
          <cell r="C456" t="e">
            <v>#REF!</v>
          </cell>
          <cell r="D456" t="e">
            <v>#REF!</v>
          </cell>
          <cell r="E456" t="e">
            <v>#REF!</v>
          </cell>
        </row>
        <row r="457">
          <cell r="A457" t="e">
            <v>#REF!</v>
          </cell>
          <cell r="B457" t="e">
            <v>#REF!</v>
          </cell>
          <cell r="C457" t="e">
            <v>#REF!</v>
          </cell>
          <cell r="D457" t="e">
            <v>#REF!</v>
          </cell>
          <cell r="E457" t="e">
            <v>#REF!</v>
          </cell>
        </row>
        <row r="458">
          <cell r="A458" t="e">
            <v>#REF!</v>
          </cell>
          <cell r="B458" t="e">
            <v>#REF!</v>
          </cell>
          <cell r="C458" t="e">
            <v>#REF!</v>
          </cell>
          <cell r="D458" t="e">
            <v>#REF!</v>
          </cell>
          <cell r="E458" t="e">
            <v>#REF!</v>
          </cell>
        </row>
        <row r="459">
          <cell r="A459" t="e">
            <v>#REF!</v>
          </cell>
          <cell r="B459" t="e">
            <v>#REF!</v>
          </cell>
          <cell r="C459" t="e">
            <v>#REF!</v>
          </cell>
          <cell r="D459" t="e">
            <v>#REF!</v>
          </cell>
          <cell r="E459" t="e">
            <v>#REF!</v>
          </cell>
        </row>
        <row r="460">
          <cell r="A460" t="e">
            <v>#REF!</v>
          </cell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</row>
        <row r="461">
          <cell r="A461" t="e">
            <v>#REF!</v>
          </cell>
          <cell r="B461" t="e">
            <v>#REF!</v>
          </cell>
          <cell r="C461" t="e">
            <v>#REF!</v>
          </cell>
          <cell r="D461" t="e">
            <v>#REF!</v>
          </cell>
          <cell r="E461" t="e">
            <v>#REF!</v>
          </cell>
        </row>
        <row r="462">
          <cell r="A462" t="e">
            <v>#REF!</v>
          </cell>
          <cell r="B462" t="e">
            <v>#REF!</v>
          </cell>
          <cell r="C462" t="e">
            <v>#REF!</v>
          </cell>
          <cell r="D462" t="e">
            <v>#REF!</v>
          </cell>
          <cell r="E462" t="e">
            <v>#REF!</v>
          </cell>
        </row>
        <row r="463">
          <cell r="A463" t="e">
            <v>#REF!</v>
          </cell>
          <cell r="B463" t="e">
            <v>#REF!</v>
          </cell>
          <cell r="C463" t="e">
            <v>#REF!</v>
          </cell>
          <cell r="D463" t="e">
            <v>#REF!</v>
          </cell>
          <cell r="E463" t="e">
            <v>#REF!</v>
          </cell>
        </row>
        <row r="464">
          <cell r="A464" t="e">
            <v>#REF!</v>
          </cell>
          <cell r="B464" t="e">
            <v>#REF!</v>
          </cell>
          <cell r="C464" t="e">
            <v>#REF!</v>
          </cell>
          <cell r="D464" t="e">
            <v>#REF!</v>
          </cell>
          <cell r="E464" t="e">
            <v>#REF!</v>
          </cell>
        </row>
        <row r="465">
          <cell r="A465" t="e">
            <v>#REF!</v>
          </cell>
          <cell r="B465" t="e">
            <v>#REF!</v>
          </cell>
          <cell r="C465" t="e">
            <v>#REF!</v>
          </cell>
          <cell r="D465" t="e">
            <v>#REF!</v>
          </cell>
          <cell r="E465" t="e">
            <v>#REF!</v>
          </cell>
        </row>
        <row r="466">
          <cell r="A466" t="e">
            <v>#REF!</v>
          </cell>
          <cell r="B466" t="e">
            <v>#REF!</v>
          </cell>
          <cell r="C466" t="e">
            <v>#REF!</v>
          </cell>
          <cell r="D466" t="e">
            <v>#REF!</v>
          </cell>
          <cell r="E466" t="e">
            <v>#REF!</v>
          </cell>
        </row>
        <row r="467">
          <cell r="A467" t="e">
            <v>#REF!</v>
          </cell>
          <cell r="B467" t="e">
            <v>#REF!</v>
          </cell>
          <cell r="C467" t="e">
            <v>#REF!</v>
          </cell>
          <cell r="D467" t="e">
            <v>#REF!</v>
          </cell>
          <cell r="E467" t="e">
            <v>#REF!</v>
          </cell>
        </row>
        <row r="468">
          <cell r="A468" t="e">
            <v>#REF!</v>
          </cell>
          <cell r="B468" t="e">
            <v>#REF!</v>
          </cell>
          <cell r="C468" t="e">
            <v>#REF!</v>
          </cell>
          <cell r="D468" t="e">
            <v>#REF!</v>
          </cell>
          <cell r="E468" t="e">
            <v>#REF!</v>
          </cell>
        </row>
        <row r="469">
          <cell r="A469" t="e">
            <v>#REF!</v>
          </cell>
          <cell r="B469" t="e">
            <v>#REF!</v>
          </cell>
          <cell r="C469" t="e">
            <v>#REF!</v>
          </cell>
          <cell r="D469" t="e">
            <v>#REF!</v>
          </cell>
          <cell r="E469" t="e">
            <v>#REF!</v>
          </cell>
        </row>
        <row r="470">
          <cell r="A470" t="e">
            <v>#REF!</v>
          </cell>
          <cell r="B470" t="e">
            <v>#REF!</v>
          </cell>
          <cell r="C470" t="e">
            <v>#REF!</v>
          </cell>
          <cell r="D470" t="e">
            <v>#REF!</v>
          </cell>
          <cell r="E470" t="e">
            <v>#REF!</v>
          </cell>
        </row>
        <row r="471">
          <cell r="A471" t="e">
            <v>#REF!</v>
          </cell>
          <cell r="B471" t="e">
            <v>#REF!</v>
          </cell>
          <cell r="C471" t="e">
            <v>#REF!</v>
          </cell>
          <cell r="D471" t="e">
            <v>#REF!</v>
          </cell>
          <cell r="E471" t="e">
            <v>#REF!</v>
          </cell>
        </row>
        <row r="472">
          <cell r="A472" t="e">
            <v>#REF!</v>
          </cell>
          <cell r="B472" t="e">
            <v>#REF!</v>
          </cell>
          <cell r="C472" t="e">
            <v>#REF!</v>
          </cell>
          <cell r="D472" t="e">
            <v>#REF!</v>
          </cell>
          <cell r="E472" t="e">
            <v>#REF!</v>
          </cell>
        </row>
        <row r="473">
          <cell r="A473" t="e">
            <v>#REF!</v>
          </cell>
          <cell r="B473" t="e">
            <v>#REF!</v>
          </cell>
          <cell r="C473" t="e">
            <v>#REF!</v>
          </cell>
          <cell r="D473" t="e">
            <v>#REF!</v>
          </cell>
          <cell r="E473" t="e">
            <v>#REF!</v>
          </cell>
        </row>
        <row r="474">
          <cell r="A474" t="e">
            <v>#REF!</v>
          </cell>
          <cell r="B474" t="e">
            <v>#REF!</v>
          </cell>
          <cell r="C474" t="e">
            <v>#REF!</v>
          </cell>
          <cell r="D474" t="e">
            <v>#REF!</v>
          </cell>
          <cell r="E474" t="e">
            <v>#REF!</v>
          </cell>
        </row>
        <row r="475">
          <cell r="A475" t="e">
            <v>#REF!</v>
          </cell>
          <cell r="B475" t="e">
            <v>#REF!</v>
          </cell>
          <cell r="C475" t="e">
            <v>#REF!</v>
          </cell>
          <cell r="D475" t="e">
            <v>#REF!</v>
          </cell>
          <cell r="E475" t="e">
            <v>#REF!</v>
          </cell>
        </row>
        <row r="476">
          <cell r="A476" t="e">
            <v>#REF!</v>
          </cell>
          <cell r="B476" t="e">
            <v>#REF!</v>
          </cell>
          <cell r="C476" t="e">
            <v>#REF!</v>
          </cell>
          <cell r="D476" t="e">
            <v>#REF!</v>
          </cell>
          <cell r="E476" t="e">
            <v>#REF!</v>
          </cell>
        </row>
        <row r="477">
          <cell r="A477" t="e">
            <v>#REF!</v>
          </cell>
          <cell r="B477" t="e">
            <v>#REF!</v>
          </cell>
          <cell r="C477" t="e">
            <v>#REF!</v>
          </cell>
          <cell r="D477" t="e">
            <v>#REF!</v>
          </cell>
          <cell r="E477" t="e">
            <v>#REF!</v>
          </cell>
        </row>
        <row r="478">
          <cell r="A478" t="e">
            <v>#REF!</v>
          </cell>
          <cell r="B478" t="e">
            <v>#REF!</v>
          </cell>
          <cell r="C478" t="e">
            <v>#REF!</v>
          </cell>
          <cell r="D478" t="e">
            <v>#REF!</v>
          </cell>
          <cell r="E478" t="e">
            <v>#REF!</v>
          </cell>
        </row>
        <row r="479">
          <cell r="A479" t="e">
            <v>#REF!</v>
          </cell>
          <cell r="B479" t="e">
            <v>#REF!</v>
          </cell>
          <cell r="C479" t="e">
            <v>#REF!</v>
          </cell>
          <cell r="D479" t="e">
            <v>#REF!</v>
          </cell>
          <cell r="E479" t="e">
            <v>#REF!</v>
          </cell>
        </row>
        <row r="480">
          <cell r="A480" t="e">
            <v>#REF!</v>
          </cell>
          <cell r="B480" t="e">
            <v>#REF!</v>
          </cell>
          <cell r="C480" t="e">
            <v>#REF!</v>
          </cell>
          <cell r="D480" t="e">
            <v>#REF!</v>
          </cell>
          <cell r="E480" t="e">
            <v>#REF!</v>
          </cell>
        </row>
        <row r="481">
          <cell r="A481" t="e">
            <v>#REF!</v>
          </cell>
          <cell r="B481" t="e">
            <v>#REF!</v>
          </cell>
          <cell r="C481" t="e">
            <v>#REF!</v>
          </cell>
          <cell r="D481" t="e">
            <v>#REF!</v>
          </cell>
          <cell r="E481" t="e">
            <v>#REF!</v>
          </cell>
        </row>
        <row r="482">
          <cell r="A482" t="e">
            <v>#REF!</v>
          </cell>
          <cell r="B482" t="e">
            <v>#REF!</v>
          </cell>
          <cell r="C482" t="e">
            <v>#REF!</v>
          </cell>
          <cell r="D482" t="e">
            <v>#REF!</v>
          </cell>
          <cell r="E482" t="e">
            <v>#REF!</v>
          </cell>
        </row>
        <row r="483">
          <cell r="A483" t="e">
            <v>#REF!</v>
          </cell>
          <cell r="B483" t="e">
            <v>#REF!</v>
          </cell>
          <cell r="C483" t="e">
            <v>#REF!</v>
          </cell>
          <cell r="D483" t="e">
            <v>#REF!</v>
          </cell>
          <cell r="E483" t="e">
            <v>#REF!</v>
          </cell>
        </row>
        <row r="484">
          <cell r="A484" t="e">
            <v>#REF!</v>
          </cell>
          <cell r="B484" t="e">
            <v>#REF!</v>
          </cell>
          <cell r="C484" t="e">
            <v>#REF!</v>
          </cell>
          <cell r="D484" t="e">
            <v>#REF!</v>
          </cell>
          <cell r="E484" t="e">
            <v>#REF!</v>
          </cell>
        </row>
        <row r="485">
          <cell r="A485" t="e">
            <v>#REF!</v>
          </cell>
          <cell r="B485" t="e">
            <v>#REF!</v>
          </cell>
          <cell r="C485" t="e">
            <v>#REF!</v>
          </cell>
          <cell r="D485" t="e">
            <v>#REF!</v>
          </cell>
          <cell r="E485" t="e">
            <v>#REF!</v>
          </cell>
        </row>
        <row r="486">
          <cell r="A486" t="e">
            <v>#REF!</v>
          </cell>
          <cell r="B486" t="e">
            <v>#REF!</v>
          </cell>
          <cell r="C486" t="e">
            <v>#REF!</v>
          </cell>
          <cell r="D486" t="e">
            <v>#REF!</v>
          </cell>
          <cell r="E486" t="e">
            <v>#REF!</v>
          </cell>
        </row>
        <row r="487">
          <cell r="A487" t="e">
            <v>#REF!</v>
          </cell>
          <cell r="B487" t="e">
            <v>#REF!</v>
          </cell>
          <cell r="C487" t="e">
            <v>#REF!</v>
          </cell>
          <cell r="D487" t="e">
            <v>#REF!</v>
          </cell>
          <cell r="E487" t="e">
            <v>#REF!</v>
          </cell>
        </row>
        <row r="488">
          <cell r="A488" t="e">
            <v>#REF!</v>
          </cell>
          <cell r="B488" t="e">
            <v>#REF!</v>
          </cell>
          <cell r="C488" t="e">
            <v>#REF!</v>
          </cell>
          <cell r="D488" t="e">
            <v>#REF!</v>
          </cell>
          <cell r="E488" t="e">
            <v>#REF!</v>
          </cell>
        </row>
        <row r="489">
          <cell r="A489" t="e">
            <v>#REF!</v>
          </cell>
          <cell r="B489" t="e">
            <v>#REF!</v>
          </cell>
          <cell r="C489" t="e">
            <v>#REF!</v>
          </cell>
          <cell r="D489" t="e">
            <v>#REF!</v>
          </cell>
          <cell r="E489" t="e">
            <v>#REF!</v>
          </cell>
        </row>
        <row r="490">
          <cell r="A490" t="e">
            <v>#REF!</v>
          </cell>
          <cell r="B490" t="e">
            <v>#REF!</v>
          </cell>
          <cell r="C490" t="e">
            <v>#REF!</v>
          </cell>
          <cell r="D490" t="e">
            <v>#REF!</v>
          </cell>
          <cell r="E490" t="e">
            <v>#REF!</v>
          </cell>
        </row>
        <row r="491">
          <cell r="A491" t="e">
            <v>#REF!</v>
          </cell>
          <cell r="B491" t="e">
            <v>#REF!</v>
          </cell>
          <cell r="C491" t="e">
            <v>#REF!</v>
          </cell>
          <cell r="D491" t="e">
            <v>#REF!</v>
          </cell>
          <cell r="E491" t="e">
            <v>#REF!</v>
          </cell>
        </row>
        <row r="492">
          <cell r="A492" t="e">
            <v>#REF!</v>
          </cell>
          <cell r="B492" t="e">
            <v>#REF!</v>
          </cell>
          <cell r="C492" t="e">
            <v>#REF!</v>
          </cell>
          <cell r="D492" t="e">
            <v>#REF!</v>
          </cell>
          <cell r="E492" t="e">
            <v>#REF!</v>
          </cell>
        </row>
        <row r="493">
          <cell r="A493" t="e">
            <v>#REF!</v>
          </cell>
          <cell r="B493" t="e">
            <v>#REF!</v>
          </cell>
          <cell r="C493" t="e">
            <v>#REF!</v>
          </cell>
          <cell r="D493" t="e">
            <v>#REF!</v>
          </cell>
          <cell r="E493" t="e">
            <v>#REF!</v>
          </cell>
        </row>
        <row r="494">
          <cell r="A494" t="e">
            <v>#REF!</v>
          </cell>
          <cell r="B494" t="e">
            <v>#REF!</v>
          </cell>
          <cell r="C494" t="e">
            <v>#REF!</v>
          </cell>
          <cell r="D494" t="e">
            <v>#REF!</v>
          </cell>
          <cell r="E494" t="e">
            <v>#REF!</v>
          </cell>
        </row>
        <row r="495">
          <cell r="A495" t="e">
            <v>#REF!</v>
          </cell>
          <cell r="B495" t="e">
            <v>#REF!</v>
          </cell>
          <cell r="C495" t="e">
            <v>#REF!</v>
          </cell>
          <cell r="D495" t="e">
            <v>#REF!</v>
          </cell>
          <cell r="E495" t="e">
            <v>#REF!</v>
          </cell>
        </row>
        <row r="496">
          <cell r="A496" t="e">
            <v>#REF!</v>
          </cell>
          <cell r="B496" t="e">
            <v>#REF!</v>
          </cell>
          <cell r="C496" t="e">
            <v>#REF!</v>
          </cell>
          <cell r="D496" t="e">
            <v>#REF!</v>
          </cell>
          <cell r="E496" t="e">
            <v>#REF!</v>
          </cell>
        </row>
        <row r="497">
          <cell r="A497" t="e">
            <v>#REF!</v>
          </cell>
          <cell r="B497" t="e">
            <v>#REF!</v>
          </cell>
          <cell r="C497" t="e">
            <v>#REF!</v>
          </cell>
          <cell r="D497" t="e">
            <v>#REF!</v>
          </cell>
          <cell r="E497" t="e">
            <v>#REF!</v>
          </cell>
        </row>
        <row r="498">
          <cell r="A498" t="e">
            <v>#REF!</v>
          </cell>
          <cell r="B498" t="e">
            <v>#REF!</v>
          </cell>
          <cell r="C498" t="e">
            <v>#REF!</v>
          </cell>
          <cell r="D498" t="e">
            <v>#REF!</v>
          </cell>
          <cell r="E498" t="e">
            <v>#REF!</v>
          </cell>
        </row>
        <row r="499">
          <cell r="A499" t="e">
            <v>#REF!</v>
          </cell>
          <cell r="B499" t="e">
            <v>#REF!</v>
          </cell>
          <cell r="C499" t="e">
            <v>#REF!</v>
          </cell>
          <cell r="D499" t="e">
            <v>#REF!</v>
          </cell>
          <cell r="E499" t="e">
            <v>#REF!</v>
          </cell>
        </row>
        <row r="500">
          <cell r="A500" t="e">
            <v>#REF!</v>
          </cell>
          <cell r="B500" t="e">
            <v>#REF!</v>
          </cell>
          <cell r="C500" t="e">
            <v>#REF!</v>
          </cell>
          <cell r="D500" t="e">
            <v>#REF!</v>
          </cell>
          <cell r="E500" t="e">
            <v>#REF!</v>
          </cell>
        </row>
        <row r="501">
          <cell r="A501" t="e">
            <v>#REF!</v>
          </cell>
          <cell r="B501" t="e">
            <v>#REF!</v>
          </cell>
          <cell r="C501" t="e">
            <v>#REF!</v>
          </cell>
          <cell r="D501" t="e">
            <v>#REF!</v>
          </cell>
          <cell r="E501" t="e">
            <v>#REF!</v>
          </cell>
        </row>
        <row r="502">
          <cell r="A502" t="e">
            <v>#REF!</v>
          </cell>
          <cell r="B502" t="e">
            <v>#REF!</v>
          </cell>
          <cell r="C502" t="e">
            <v>#REF!</v>
          </cell>
          <cell r="D502" t="e">
            <v>#REF!</v>
          </cell>
          <cell r="E502" t="e">
            <v>#REF!</v>
          </cell>
        </row>
        <row r="503">
          <cell r="A503" t="e">
            <v>#REF!</v>
          </cell>
          <cell r="B503" t="e">
            <v>#REF!</v>
          </cell>
          <cell r="C503" t="e">
            <v>#REF!</v>
          </cell>
          <cell r="D503" t="e">
            <v>#REF!</v>
          </cell>
          <cell r="E503" t="e">
            <v>#REF!</v>
          </cell>
        </row>
        <row r="504">
          <cell r="A504" t="e">
            <v>#REF!</v>
          </cell>
          <cell r="B504" t="e">
            <v>#REF!</v>
          </cell>
          <cell r="C504" t="e">
            <v>#REF!</v>
          </cell>
          <cell r="D504" t="e">
            <v>#REF!</v>
          </cell>
          <cell r="E504" t="e">
            <v>#REF!</v>
          </cell>
        </row>
        <row r="505">
          <cell r="A505" t="e">
            <v>#REF!</v>
          </cell>
          <cell r="B505" t="e">
            <v>#REF!</v>
          </cell>
          <cell r="C505" t="e">
            <v>#REF!</v>
          </cell>
          <cell r="D505" t="e">
            <v>#REF!</v>
          </cell>
          <cell r="E505" t="e">
            <v>#REF!</v>
          </cell>
        </row>
        <row r="506">
          <cell r="A506" t="e">
            <v>#REF!</v>
          </cell>
          <cell r="B506" t="e">
            <v>#REF!</v>
          </cell>
          <cell r="C506" t="e">
            <v>#REF!</v>
          </cell>
          <cell r="D506" t="e">
            <v>#REF!</v>
          </cell>
          <cell r="E506" t="e">
            <v>#REF!</v>
          </cell>
        </row>
        <row r="507">
          <cell r="A507" t="e">
            <v>#REF!</v>
          </cell>
          <cell r="B507" t="e">
            <v>#REF!</v>
          </cell>
          <cell r="C507" t="e">
            <v>#REF!</v>
          </cell>
          <cell r="D507" t="e">
            <v>#REF!</v>
          </cell>
          <cell r="E507" t="e">
            <v>#REF!</v>
          </cell>
        </row>
        <row r="508">
          <cell r="A508" t="e">
            <v>#REF!</v>
          </cell>
          <cell r="B508" t="e">
            <v>#REF!</v>
          </cell>
          <cell r="C508" t="e">
            <v>#REF!</v>
          </cell>
          <cell r="D508" t="e">
            <v>#REF!</v>
          </cell>
          <cell r="E508" t="e">
            <v>#REF!</v>
          </cell>
        </row>
        <row r="509">
          <cell r="A509" t="e">
            <v>#REF!</v>
          </cell>
          <cell r="B509" t="e">
            <v>#REF!</v>
          </cell>
          <cell r="C509" t="e">
            <v>#REF!</v>
          </cell>
          <cell r="E509" t="e">
            <v>#REF!</v>
          </cell>
        </row>
        <row r="510">
          <cell r="A510" t="e">
            <v>#REF!</v>
          </cell>
          <cell r="B510" t="e">
            <v>#REF!</v>
          </cell>
          <cell r="C510" t="e">
            <v>#REF!</v>
          </cell>
          <cell r="E510" t="e">
            <v>#REF!</v>
          </cell>
        </row>
        <row r="511">
          <cell r="A511" t="e">
            <v>#REF!</v>
          </cell>
          <cell r="B511" t="e">
            <v>#REF!</v>
          </cell>
          <cell r="C511" t="e">
            <v>#REF!</v>
          </cell>
          <cell r="D511" t="e">
            <v>#REF!</v>
          </cell>
          <cell r="E511" t="e">
            <v>#REF!</v>
          </cell>
        </row>
        <row r="512">
          <cell r="A512" t="e">
            <v>#REF!</v>
          </cell>
          <cell r="B512" t="e">
            <v>#REF!</v>
          </cell>
          <cell r="C512" t="e">
            <v>#REF!</v>
          </cell>
          <cell r="D512" t="e">
            <v>#REF!</v>
          </cell>
          <cell r="E512" t="e">
            <v>#REF!</v>
          </cell>
        </row>
        <row r="513">
          <cell r="A513" t="e">
            <v>#REF!</v>
          </cell>
          <cell r="B513" t="e">
            <v>#REF!</v>
          </cell>
          <cell r="C513" t="e">
            <v>#REF!</v>
          </cell>
          <cell r="D513" t="e">
            <v>#REF!</v>
          </cell>
          <cell r="E513" t="e">
            <v>#REF!</v>
          </cell>
        </row>
        <row r="514">
          <cell r="A514" t="e">
            <v>#REF!</v>
          </cell>
          <cell r="B514" t="e">
            <v>#REF!</v>
          </cell>
          <cell r="C514" t="e">
            <v>#REF!</v>
          </cell>
          <cell r="D514" t="e">
            <v>#REF!</v>
          </cell>
          <cell r="E514" t="e">
            <v>#REF!</v>
          </cell>
        </row>
        <row r="515">
          <cell r="A515" t="e">
            <v>#REF!</v>
          </cell>
          <cell r="B515" t="e">
            <v>#REF!</v>
          </cell>
          <cell r="C515" t="e">
            <v>#REF!</v>
          </cell>
          <cell r="D515" t="e">
            <v>#REF!</v>
          </cell>
          <cell r="E515" t="e">
            <v>#REF!</v>
          </cell>
        </row>
        <row r="516">
          <cell r="A516" t="e">
            <v>#REF!</v>
          </cell>
          <cell r="B516" t="e">
            <v>#REF!</v>
          </cell>
          <cell r="C516" t="e">
            <v>#REF!</v>
          </cell>
          <cell r="D516" t="e">
            <v>#REF!</v>
          </cell>
          <cell r="E516" t="e">
            <v>#REF!</v>
          </cell>
        </row>
        <row r="517">
          <cell r="A517" t="e">
            <v>#REF!</v>
          </cell>
          <cell r="B517" t="e">
            <v>#REF!</v>
          </cell>
          <cell r="C517" t="e">
            <v>#REF!</v>
          </cell>
          <cell r="D517" t="e">
            <v>#REF!</v>
          </cell>
          <cell r="E517" t="e">
            <v>#REF!</v>
          </cell>
        </row>
        <row r="518">
          <cell r="A518" t="e">
            <v>#REF!</v>
          </cell>
          <cell r="B518" t="e">
            <v>#REF!</v>
          </cell>
          <cell r="C518" t="e">
            <v>#REF!</v>
          </cell>
          <cell r="D518" t="e">
            <v>#REF!</v>
          </cell>
          <cell r="E518" t="e">
            <v>#REF!</v>
          </cell>
        </row>
        <row r="519">
          <cell r="A519" t="e">
            <v>#REF!</v>
          </cell>
          <cell r="B519" t="e">
            <v>#REF!</v>
          </cell>
          <cell r="C519" t="e">
            <v>#REF!</v>
          </cell>
          <cell r="D519" t="e">
            <v>#REF!</v>
          </cell>
          <cell r="E519" t="e">
            <v>#REF!</v>
          </cell>
        </row>
        <row r="520">
          <cell r="A520" t="e">
            <v>#REF!</v>
          </cell>
          <cell r="B520" t="e">
            <v>#REF!</v>
          </cell>
          <cell r="C520" t="e">
            <v>#REF!</v>
          </cell>
          <cell r="D520" t="e">
            <v>#REF!</v>
          </cell>
          <cell r="E520" t="e">
            <v>#REF!</v>
          </cell>
        </row>
        <row r="521">
          <cell r="A521" t="e">
            <v>#REF!</v>
          </cell>
          <cell r="B521" t="e">
            <v>#REF!</v>
          </cell>
          <cell r="C521" t="e">
            <v>#REF!</v>
          </cell>
          <cell r="D521" t="e">
            <v>#REF!</v>
          </cell>
          <cell r="E521" t="e">
            <v>#REF!</v>
          </cell>
        </row>
        <row r="522">
          <cell r="A522" t="e">
            <v>#REF!</v>
          </cell>
          <cell r="B522" t="e">
            <v>#REF!</v>
          </cell>
          <cell r="C522" t="e">
            <v>#REF!</v>
          </cell>
          <cell r="D522" t="e">
            <v>#REF!</v>
          </cell>
          <cell r="E522" t="e">
            <v>#REF!</v>
          </cell>
        </row>
        <row r="523">
          <cell r="A523" t="e">
            <v>#REF!</v>
          </cell>
          <cell r="B523" t="e">
            <v>#REF!</v>
          </cell>
          <cell r="C523" t="e">
            <v>#REF!</v>
          </cell>
          <cell r="D523" t="e">
            <v>#REF!</v>
          </cell>
          <cell r="E523" t="e">
            <v>#REF!</v>
          </cell>
        </row>
        <row r="524">
          <cell r="A524" t="e">
            <v>#REF!</v>
          </cell>
          <cell r="B524" t="e">
            <v>#REF!</v>
          </cell>
          <cell r="C524" t="e">
            <v>#REF!</v>
          </cell>
          <cell r="D524" t="e">
            <v>#REF!</v>
          </cell>
          <cell r="E524" t="e">
            <v>#REF!</v>
          </cell>
        </row>
        <row r="525">
          <cell r="A525" t="e">
            <v>#REF!</v>
          </cell>
          <cell r="B525" t="e">
            <v>#REF!</v>
          </cell>
          <cell r="C525" t="e">
            <v>#REF!</v>
          </cell>
          <cell r="D525" t="e">
            <v>#REF!</v>
          </cell>
          <cell r="E525" t="e">
            <v>#REF!</v>
          </cell>
        </row>
        <row r="526">
          <cell r="A526" t="e">
            <v>#REF!</v>
          </cell>
          <cell r="B526" t="e">
            <v>#REF!</v>
          </cell>
          <cell r="C526" t="e">
            <v>#REF!</v>
          </cell>
          <cell r="D526" t="e">
            <v>#REF!</v>
          </cell>
          <cell r="E526" t="e">
            <v>#REF!</v>
          </cell>
        </row>
        <row r="527">
          <cell r="A527" t="e">
            <v>#REF!</v>
          </cell>
          <cell r="B527" t="e">
            <v>#REF!</v>
          </cell>
          <cell r="C527" t="e">
            <v>#REF!</v>
          </cell>
          <cell r="D527" t="e">
            <v>#REF!</v>
          </cell>
          <cell r="E527" t="e">
            <v>#REF!</v>
          </cell>
        </row>
        <row r="528">
          <cell r="A528" t="e">
            <v>#REF!</v>
          </cell>
          <cell r="B528" t="e">
            <v>#REF!</v>
          </cell>
          <cell r="C528" t="e">
            <v>#REF!</v>
          </cell>
          <cell r="D528" t="e">
            <v>#REF!</v>
          </cell>
          <cell r="E528" t="e">
            <v>#REF!</v>
          </cell>
        </row>
        <row r="529">
          <cell r="A529" t="e">
            <v>#REF!</v>
          </cell>
          <cell r="B529" t="e">
            <v>#REF!</v>
          </cell>
          <cell r="C529" t="e">
            <v>#REF!</v>
          </cell>
          <cell r="D529" t="e">
            <v>#REF!</v>
          </cell>
          <cell r="E529" t="e">
            <v>#REF!</v>
          </cell>
        </row>
        <row r="530">
          <cell r="A530" t="e">
            <v>#REF!</v>
          </cell>
          <cell r="B530" t="e">
            <v>#REF!</v>
          </cell>
          <cell r="C530" t="e">
            <v>#REF!</v>
          </cell>
          <cell r="D530" t="e">
            <v>#REF!</v>
          </cell>
          <cell r="E530" t="e">
            <v>#REF!</v>
          </cell>
        </row>
        <row r="531">
          <cell r="A531" t="e">
            <v>#REF!</v>
          </cell>
          <cell r="B531" t="e">
            <v>#REF!</v>
          </cell>
          <cell r="C531" t="e">
            <v>#REF!</v>
          </cell>
          <cell r="D531" t="e">
            <v>#REF!</v>
          </cell>
          <cell r="E531" t="e">
            <v>#REF!</v>
          </cell>
        </row>
        <row r="532">
          <cell r="A532" t="e">
            <v>#REF!</v>
          </cell>
          <cell r="B532" t="e">
            <v>#REF!</v>
          </cell>
          <cell r="C532" t="e">
            <v>#REF!</v>
          </cell>
          <cell r="D532" t="e">
            <v>#REF!</v>
          </cell>
          <cell r="E532" t="e">
            <v>#REF!</v>
          </cell>
        </row>
        <row r="533">
          <cell r="A533" t="e">
            <v>#REF!</v>
          </cell>
          <cell r="B533" t="e">
            <v>#REF!</v>
          </cell>
          <cell r="C533" t="e">
            <v>#REF!</v>
          </cell>
          <cell r="D533" t="e">
            <v>#REF!</v>
          </cell>
          <cell r="E533" t="e">
            <v>#REF!</v>
          </cell>
        </row>
        <row r="534">
          <cell r="A534" t="e">
            <v>#REF!</v>
          </cell>
          <cell r="B534" t="e">
            <v>#REF!</v>
          </cell>
          <cell r="C534" t="e">
            <v>#REF!</v>
          </cell>
          <cell r="D534" t="e">
            <v>#REF!</v>
          </cell>
          <cell r="E534" t="e">
            <v>#REF!</v>
          </cell>
        </row>
        <row r="535">
          <cell r="A535" t="e">
            <v>#REF!</v>
          </cell>
          <cell r="B535" t="e">
            <v>#REF!</v>
          </cell>
          <cell r="C535" t="e">
            <v>#REF!</v>
          </cell>
          <cell r="D535" t="e">
            <v>#REF!</v>
          </cell>
          <cell r="E535" t="e">
            <v>#REF!</v>
          </cell>
        </row>
        <row r="536">
          <cell r="A536" t="e">
            <v>#REF!</v>
          </cell>
          <cell r="B536" t="e">
            <v>#REF!</v>
          </cell>
          <cell r="C536" t="e">
            <v>#REF!</v>
          </cell>
          <cell r="D536" t="e">
            <v>#REF!</v>
          </cell>
          <cell r="E536" t="e">
            <v>#REF!</v>
          </cell>
        </row>
        <row r="537">
          <cell r="A537" t="e">
            <v>#REF!</v>
          </cell>
          <cell r="B537" t="e">
            <v>#REF!</v>
          </cell>
          <cell r="C537" t="e">
            <v>#REF!</v>
          </cell>
          <cell r="D537" t="e">
            <v>#REF!</v>
          </cell>
          <cell r="E537" t="e">
            <v>#REF!</v>
          </cell>
        </row>
        <row r="538">
          <cell r="A538" t="e">
            <v>#REF!</v>
          </cell>
          <cell r="B538" t="e">
            <v>#REF!</v>
          </cell>
          <cell r="C538" t="e">
            <v>#REF!</v>
          </cell>
          <cell r="D538" t="e">
            <v>#REF!</v>
          </cell>
          <cell r="E538" t="e">
            <v>#REF!</v>
          </cell>
        </row>
        <row r="539">
          <cell r="A539" t="e">
            <v>#REF!</v>
          </cell>
          <cell r="B539" t="e">
            <v>#REF!</v>
          </cell>
          <cell r="C539" t="e">
            <v>#REF!</v>
          </cell>
          <cell r="D539" t="e">
            <v>#REF!</v>
          </cell>
          <cell r="E539" t="e">
            <v>#REF!</v>
          </cell>
        </row>
        <row r="540">
          <cell r="A540" t="e">
            <v>#REF!</v>
          </cell>
          <cell r="B540" t="e">
            <v>#REF!</v>
          </cell>
          <cell r="C540" t="e">
            <v>#REF!</v>
          </cell>
          <cell r="D540" t="e">
            <v>#REF!</v>
          </cell>
          <cell r="E540" t="e">
            <v>#REF!</v>
          </cell>
        </row>
        <row r="541">
          <cell r="A541" t="e">
            <v>#REF!</v>
          </cell>
          <cell r="B541" t="e">
            <v>#REF!</v>
          </cell>
          <cell r="C541" t="e">
            <v>#REF!</v>
          </cell>
          <cell r="D541" t="e">
            <v>#REF!</v>
          </cell>
          <cell r="E541" t="e">
            <v>#REF!</v>
          </cell>
        </row>
        <row r="542">
          <cell r="A542" t="e">
            <v>#REF!</v>
          </cell>
          <cell r="B542" t="e">
            <v>#REF!</v>
          </cell>
          <cell r="C542" t="e">
            <v>#REF!</v>
          </cell>
          <cell r="D542" t="e">
            <v>#REF!</v>
          </cell>
          <cell r="E542" t="e">
            <v>#REF!</v>
          </cell>
        </row>
        <row r="543">
          <cell r="A543" t="e">
            <v>#REF!</v>
          </cell>
          <cell r="B543" t="e">
            <v>#REF!</v>
          </cell>
          <cell r="C543" t="e">
            <v>#REF!</v>
          </cell>
          <cell r="D543" t="e">
            <v>#REF!</v>
          </cell>
          <cell r="E543" t="e">
            <v>#REF!</v>
          </cell>
        </row>
        <row r="544">
          <cell r="A544" t="e">
            <v>#REF!</v>
          </cell>
          <cell r="B544" t="e">
            <v>#REF!</v>
          </cell>
          <cell r="C544" t="e">
            <v>#REF!</v>
          </cell>
          <cell r="D544" t="e">
            <v>#REF!</v>
          </cell>
          <cell r="E544" t="e">
            <v>#REF!</v>
          </cell>
        </row>
        <row r="545">
          <cell r="A545" t="e">
            <v>#REF!</v>
          </cell>
          <cell r="B545" t="e">
            <v>#REF!</v>
          </cell>
          <cell r="C545" t="e">
            <v>#REF!</v>
          </cell>
          <cell r="D545" t="e">
            <v>#REF!</v>
          </cell>
          <cell r="E545" t="e">
            <v>#REF!</v>
          </cell>
        </row>
        <row r="546">
          <cell r="A546" t="e">
            <v>#REF!</v>
          </cell>
          <cell r="B546" t="e">
            <v>#REF!</v>
          </cell>
          <cell r="C546" t="e">
            <v>#REF!</v>
          </cell>
          <cell r="D546" t="e">
            <v>#REF!</v>
          </cell>
          <cell r="E546" t="e">
            <v>#REF!</v>
          </cell>
        </row>
        <row r="547">
          <cell r="A547" t="e">
            <v>#REF!</v>
          </cell>
          <cell r="B547" t="e">
            <v>#REF!</v>
          </cell>
          <cell r="C547" t="e">
            <v>#REF!</v>
          </cell>
          <cell r="D547" t="e">
            <v>#REF!</v>
          </cell>
          <cell r="E547" t="e">
            <v>#REF!</v>
          </cell>
        </row>
        <row r="548">
          <cell r="A548" t="e">
            <v>#REF!</v>
          </cell>
          <cell r="B548" t="e">
            <v>#REF!</v>
          </cell>
          <cell r="C548" t="e">
            <v>#REF!</v>
          </cell>
          <cell r="D548" t="e">
            <v>#REF!</v>
          </cell>
          <cell r="E548" t="e">
            <v>#REF!</v>
          </cell>
        </row>
        <row r="549">
          <cell r="A549" t="e">
            <v>#REF!</v>
          </cell>
          <cell r="B549" t="e">
            <v>#REF!</v>
          </cell>
          <cell r="C549" t="e">
            <v>#REF!</v>
          </cell>
          <cell r="D549" t="e">
            <v>#REF!</v>
          </cell>
          <cell r="E549" t="e">
            <v>#REF!</v>
          </cell>
        </row>
        <row r="550">
          <cell r="A550" t="e">
            <v>#REF!</v>
          </cell>
          <cell r="B550" t="e">
            <v>#REF!</v>
          </cell>
          <cell r="C550" t="e">
            <v>#REF!</v>
          </cell>
          <cell r="D550" t="e">
            <v>#REF!</v>
          </cell>
          <cell r="E550" t="e">
            <v>#REF!</v>
          </cell>
        </row>
        <row r="551">
          <cell r="A551" t="e">
            <v>#REF!</v>
          </cell>
          <cell r="B551" t="e">
            <v>#REF!</v>
          </cell>
          <cell r="C551" t="e">
            <v>#REF!</v>
          </cell>
          <cell r="D551" t="e">
            <v>#REF!</v>
          </cell>
          <cell r="E551" t="e">
            <v>#REF!</v>
          </cell>
        </row>
        <row r="552">
          <cell r="A552" t="e">
            <v>#REF!</v>
          </cell>
          <cell r="B552" t="e">
            <v>#REF!</v>
          </cell>
          <cell r="C552" t="e">
            <v>#REF!</v>
          </cell>
          <cell r="D552" t="e">
            <v>#REF!</v>
          </cell>
          <cell r="E552" t="e">
            <v>#REF!</v>
          </cell>
        </row>
        <row r="553">
          <cell r="A553" t="e">
            <v>#REF!</v>
          </cell>
          <cell r="B553" t="e">
            <v>#REF!</v>
          </cell>
          <cell r="C553" t="e">
            <v>#REF!</v>
          </cell>
          <cell r="D553" t="e">
            <v>#REF!</v>
          </cell>
          <cell r="E553" t="e">
            <v>#REF!</v>
          </cell>
        </row>
        <row r="554">
          <cell r="A554" t="e">
            <v>#REF!</v>
          </cell>
          <cell r="B554" t="e">
            <v>#REF!</v>
          </cell>
          <cell r="C554" t="e">
            <v>#REF!</v>
          </cell>
          <cell r="D554" t="e">
            <v>#REF!</v>
          </cell>
          <cell r="E554" t="e">
            <v>#REF!</v>
          </cell>
        </row>
        <row r="555">
          <cell r="A555" t="e">
            <v>#REF!</v>
          </cell>
          <cell r="B555" t="e">
            <v>#REF!</v>
          </cell>
          <cell r="C555" t="e">
            <v>#REF!</v>
          </cell>
          <cell r="D555" t="e">
            <v>#REF!</v>
          </cell>
          <cell r="E555" t="e">
            <v>#REF!</v>
          </cell>
        </row>
        <row r="556">
          <cell r="A556" t="e">
            <v>#REF!</v>
          </cell>
          <cell r="B556" t="e">
            <v>#REF!</v>
          </cell>
          <cell r="C556" t="e">
            <v>#REF!</v>
          </cell>
          <cell r="D556" t="e">
            <v>#REF!</v>
          </cell>
          <cell r="E556" t="e">
            <v>#REF!</v>
          </cell>
        </row>
        <row r="557">
          <cell r="A557" t="e">
            <v>#REF!</v>
          </cell>
          <cell r="B557" t="e">
            <v>#REF!</v>
          </cell>
          <cell r="C557" t="e">
            <v>#REF!</v>
          </cell>
          <cell r="D557" t="e">
            <v>#REF!</v>
          </cell>
          <cell r="E557" t="e">
            <v>#REF!</v>
          </cell>
        </row>
        <row r="558">
          <cell r="A558" t="e">
            <v>#REF!</v>
          </cell>
          <cell r="B558" t="e">
            <v>#REF!</v>
          </cell>
          <cell r="C558" t="e">
            <v>#REF!</v>
          </cell>
          <cell r="D558" t="e">
            <v>#REF!</v>
          </cell>
          <cell r="E558" t="e">
            <v>#REF!</v>
          </cell>
        </row>
        <row r="559">
          <cell r="A559" t="e">
            <v>#REF!</v>
          </cell>
          <cell r="B559" t="e">
            <v>#REF!</v>
          </cell>
          <cell r="C559" t="e">
            <v>#REF!</v>
          </cell>
          <cell r="D559" t="e">
            <v>#REF!</v>
          </cell>
          <cell r="E559" t="e">
            <v>#REF!</v>
          </cell>
        </row>
        <row r="560">
          <cell r="A560" t="e">
            <v>#REF!</v>
          </cell>
          <cell r="B560" t="e">
            <v>#REF!</v>
          </cell>
          <cell r="C560" t="e">
            <v>#REF!</v>
          </cell>
          <cell r="D560" t="e">
            <v>#REF!</v>
          </cell>
          <cell r="E560" t="e">
            <v>#REF!</v>
          </cell>
        </row>
        <row r="561">
          <cell r="A561" t="e">
            <v>#REF!</v>
          </cell>
          <cell r="B561" t="e">
            <v>#REF!</v>
          </cell>
          <cell r="C561" t="e">
            <v>#REF!</v>
          </cell>
          <cell r="D561" t="e">
            <v>#REF!</v>
          </cell>
          <cell r="E561" t="e">
            <v>#REF!</v>
          </cell>
        </row>
        <row r="562">
          <cell r="A562" t="e">
            <v>#REF!</v>
          </cell>
          <cell r="B562" t="e">
            <v>#REF!</v>
          </cell>
          <cell r="C562" t="e">
            <v>#REF!</v>
          </cell>
          <cell r="D562" t="e">
            <v>#REF!</v>
          </cell>
          <cell r="E562" t="e">
            <v>#REF!</v>
          </cell>
        </row>
        <row r="563">
          <cell r="A563" t="e">
            <v>#REF!</v>
          </cell>
          <cell r="B563" t="e">
            <v>#REF!</v>
          </cell>
          <cell r="C563" t="e">
            <v>#REF!</v>
          </cell>
          <cell r="D563" t="e">
            <v>#REF!</v>
          </cell>
          <cell r="E563" t="e">
            <v>#REF!</v>
          </cell>
        </row>
        <row r="564">
          <cell r="A564" t="e">
            <v>#REF!</v>
          </cell>
          <cell r="B564" t="e">
            <v>#REF!</v>
          </cell>
          <cell r="C564" t="e">
            <v>#REF!</v>
          </cell>
          <cell r="D564" t="e">
            <v>#REF!</v>
          </cell>
          <cell r="E564" t="e">
            <v>#REF!</v>
          </cell>
        </row>
        <row r="565">
          <cell r="A565" t="e">
            <v>#REF!</v>
          </cell>
          <cell r="B565" t="e">
            <v>#REF!</v>
          </cell>
          <cell r="C565" t="e">
            <v>#REF!</v>
          </cell>
          <cell r="D565" t="e">
            <v>#REF!</v>
          </cell>
          <cell r="E565" t="e">
            <v>#REF!</v>
          </cell>
        </row>
        <row r="566">
          <cell r="A566" t="e">
            <v>#REF!</v>
          </cell>
          <cell r="B566" t="e">
            <v>#REF!</v>
          </cell>
          <cell r="C566" t="e">
            <v>#REF!</v>
          </cell>
          <cell r="D566" t="e">
            <v>#REF!</v>
          </cell>
          <cell r="E566" t="e">
            <v>#REF!</v>
          </cell>
        </row>
        <row r="567">
          <cell r="A567" t="e">
            <v>#REF!</v>
          </cell>
          <cell r="B567" t="e">
            <v>#REF!</v>
          </cell>
          <cell r="C567" t="e">
            <v>#REF!</v>
          </cell>
          <cell r="D567" t="e">
            <v>#REF!</v>
          </cell>
          <cell r="E567" t="e">
            <v>#REF!</v>
          </cell>
        </row>
        <row r="568">
          <cell r="A568" t="e">
            <v>#REF!</v>
          </cell>
          <cell r="B568" t="e">
            <v>#REF!</v>
          </cell>
          <cell r="C568" t="e">
            <v>#REF!</v>
          </cell>
          <cell r="D568" t="e">
            <v>#REF!</v>
          </cell>
          <cell r="E568" t="e">
            <v>#REF!</v>
          </cell>
        </row>
        <row r="569">
          <cell r="A569" t="e">
            <v>#REF!</v>
          </cell>
          <cell r="B569" t="e">
            <v>#REF!</v>
          </cell>
          <cell r="C569" t="e">
            <v>#REF!</v>
          </cell>
          <cell r="D569" t="e">
            <v>#REF!</v>
          </cell>
          <cell r="E569" t="e">
            <v>#REF!</v>
          </cell>
        </row>
        <row r="570">
          <cell r="A570" t="e">
            <v>#REF!</v>
          </cell>
          <cell r="B570" t="e">
            <v>#REF!</v>
          </cell>
          <cell r="C570" t="e">
            <v>#REF!</v>
          </cell>
          <cell r="D570" t="e">
            <v>#REF!</v>
          </cell>
          <cell r="E570" t="e">
            <v>#REF!</v>
          </cell>
        </row>
        <row r="571">
          <cell r="A571" t="e">
            <v>#REF!</v>
          </cell>
          <cell r="B571" t="e">
            <v>#REF!</v>
          </cell>
          <cell r="C571" t="e">
            <v>#REF!</v>
          </cell>
          <cell r="D571" t="e">
            <v>#REF!</v>
          </cell>
          <cell r="E571" t="e">
            <v>#REF!</v>
          </cell>
        </row>
        <row r="572">
          <cell r="A572" t="e">
            <v>#REF!</v>
          </cell>
          <cell r="B572" t="e">
            <v>#REF!</v>
          </cell>
          <cell r="C572" t="e">
            <v>#REF!</v>
          </cell>
          <cell r="D572" t="e">
            <v>#REF!</v>
          </cell>
          <cell r="E572" t="e">
            <v>#REF!</v>
          </cell>
        </row>
        <row r="573">
          <cell r="A573" t="e">
            <v>#REF!</v>
          </cell>
          <cell r="B573" t="e">
            <v>#REF!</v>
          </cell>
          <cell r="C573" t="e">
            <v>#REF!</v>
          </cell>
          <cell r="D573" t="e">
            <v>#REF!</v>
          </cell>
          <cell r="E573" t="e">
            <v>#REF!</v>
          </cell>
        </row>
        <row r="574">
          <cell r="A574" t="e">
            <v>#REF!</v>
          </cell>
          <cell r="B574" t="e">
            <v>#REF!</v>
          </cell>
          <cell r="C574" t="e">
            <v>#REF!</v>
          </cell>
          <cell r="D574" t="e">
            <v>#REF!</v>
          </cell>
          <cell r="E574" t="e">
            <v>#REF!</v>
          </cell>
        </row>
        <row r="575">
          <cell r="A575" t="e">
            <v>#REF!</v>
          </cell>
          <cell r="B575" t="e">
            <v>#REF!</v>
          </cell>
          <cell r="C575" t="e">
            <v>#REF!</v>
          </cell>
          <cell r="D575" t="e">
            <v>#REF!</v>
          </cell>
          <cell r="E575" t="e">
            <v>#REF!</v>
          </cell>
        </row>
        <row r="576">
          <cell r="A576" t="e">
            <v>#REF!</v>
          </cell>
          <cell r="B576" t="e">
            <v>#REF!</v>
          </cell>
          <cell r="C576" t="e">
            <v>#REF!</v>
          </cell>
          <cell r="D576" t="e">
            <v>#REF!</v>
          </cell>
          <cell r="E576" t="e">
            <v>#REF!</v>
          </cell>
        </row>
        <row r="577">
          <cell r="A577" t="e">
            <v>#REF!</v>
          </cell>
          <cell r="B577" t="e">
            <v>#REF!</v>
          </cell>
          <cell r="C577" t="e">
            <v>#REF!</v>
          </cell>
          <cell r="D577" t="e">
            <v>#REF!</v>
          </cell>
          <cell r="E577" t="e">
            <v>#REF!</v>
          </cell>
        </row>
        <row r="578">
          <cell r="A578" t="e">
            <v>#REF!</v>
          </cell>
          <cell r="B578" t="e">
            <v>#REF!</v>
          </cell>
          <cell r="C578" t="e">
            <v>#REF!</v>
          </cell>
          <cell r="D578" t="e">
            <v>#REF!</v>
          </cell>
          <cell r="E578" t="e">
            <v>#REF!</v>
          </cell>
        </row>
        <row r="579">
          <cell r="A579" t="e">
            <v>#REF!</v>
          </cell>
          <cell r="B579" t="e">
            <v>#REF!</v>
          </cell>
          <cell r="C579" t="e">
            <v>#REF!</v>
          </cell>
          <cell r="D579" t="e">
            <v>#REF!</v>
          </cell>
          <cell r="E579" t="e">
            <v>#REF!</v>
          </cell>
        </row>
        <row r="580">
          <cell r="A580" t="e">
            <v>#REF!</v>
          </cell>
          <cell r="B580" t="e">
            <v>#REF!</v>
          </cell>
          <cell r="C580" t="e">
            <v>#REF!</v>
          </cell>
          <cell r="D580" t="e">
            <v>#REF!</v>
          </cell>
          <cell r="E580" t="e">
            <v>#REF!</v>
          </cell>
        </row>
        <row r="581">
          <cell r="A581" t="e">
            <v>#REF!</v>
          </cell>
          <cell r="B581" t="e">
            <v>#REF!</v>
          </cell>
          <cell r="C581" t="e">
            <v>#REF!</v>
          </cell>
          <cell r="D581" t="e">
            <v>#REF!</v>
          </cell>
          <cell r="E581" t="e">
            <v>#REF!</v>
          </cell>
        </row>
        <row r="582">
          <cell r="A582" t="e">
            <v>#REF!</v>
          </cell>
          <cell r="B582" t="e">
            <v>#REF!</v>
          </cell>
          <cell r="C582" t="e">
            <v>#REF!</v>
          </cell>
          <cell r="D582" t="e">
            <v>#REF!</v>
          </cell>
          <cell r="E582" t="e">
            <v>#REF!</v>
          </cell>
        </row>
        <row r="583">
          <cell r="A583" t="e">
            <v>#REF!</v>
          </cell>
          <cell r="B583" t="e">
            <v>#REF!</v>
          </cell>
          <cell r="C583" t="e">
            <v>#REF!</v>
          </cell>
          <cell r="D583" t="e">
            <v>#REF!</v>
          </cell>
          <cell r="E583" t="e">
            <v>#REF!</v>
          </cell>
        </row>
        <row r="584">
          <cell r="A584" t="e">
            <v>#REF!</v>
          </cell>
          <cell r="B584" t="e">
            <v>#REF!</v>
          </cell>
          <cell r="C584" t="e">
            <v>#REF!</v>
          </cell>
          <cell r="D584" t="e">
            <v>#REF!</v>
          </cell>
          <cell r="E584" t="e">
            <v>#REF!</v>
          </cell>
        </row>
        <row r="585">
          <cell r="A585" t="e">
            <v>#REF!</v>
          </cell>
          <cell r="B585" t="e">
            <v>#REF!</v>
          </cell>
          <cell r="C585" t="e">
            <v>#REF!</v>
          </cell>
          <cell r="D585" t="e">
            <v>#REF!</v>
          </cell>
          <cell r="E585" t="e">
            <v>#REF!</v>
          </cell>
        </row>
        <row r="586">
          <cell r="A586" t="e">
            <v>#REF!</v>
          </cell>
          <cell r="B586" t="e">
            <v>#REF!</v>
          </cell>
          <cell r="C586" t="e">
            <v>#REF!</v>
          </cell>
          <cell r="D586" t="e">
            <v>#REF!</v>
          </cell>
          <cell r="E586" t="e">
            <v>#REF!</v>
          </cell>
        </row>
        <row r="587">
          <cell r="A587" t="e">
            <v>#REF!</v>
          </cell>
          <cell r="B587" t="e">
            <v>#REF!</v>
          </cell>
          <cell r="C587" t="e">
            <v>#REF!</v>
          </cell>
          <cell r="D587" t="e">
            <v>#REF!</v>
          </cell>
          <cell r="E587" t="e">
            <v>#REF!</v>
          </cell>
        </row>
        <row r="588">
          <cell r="A588" t="e">
            <v>#REF!</v>
          </cell>
          <cell r="B588" t="e">
            <v>#REF!</v>
          </cell>
          <cell r="C588" t="e">
            <v>#REF!</v>
          </cell>
          <cell r="D588" t="e">
            <v>#REF!</v>
          </cell>
          <cell r="E588" t="e">
            <v>#REF!</v>
          </cell>
        </row>
        <row r="589">
          <cell r="A589" t="e">
            <v>#REF!</v>
          </cell>
          <cell r="B589" t="e">
            <v>#REF!</v>
          </cell>
          <cell r="C589" t="e">
            <v>#REF!</v>
          </cell>
          <cell r="D589" t="e">
            <v>#REF!</v>
          </cell>
          <cell r="E589" t="e">
            <v>#REF!</v>
          </cell>
        </row>
        <row r="590">
          <cell r="A590" t="e">
            <v>#REF!</v>
          </cell>
          <cell r="B590" t="e">
            <v>#REF!</v>
          </cell>
          <cell r="C590" t="e">
            <v>#REF!</v>
          </cell>
          <cell r="D590" t="e">
            <v>#REF!</v>
          </cell>
          <cell r="E590" t="e">
            <v>#REF!</v>
          </cell>
        </row>
        <row r="591">
          <cell r="A591" t="e">
            <v>#REF!</v>
          </cell>
          <cell r="B591" t="e">
            <v>#REF!</v>
          </cell>
          <cell r="C591" t="e">
            <v>#REF!</v>
          </cell>
          <cell r="D591" t="e">
            <v>#REF!</v>
          </cell>
          <cell r="E591" t="e">
            <v>#REF!</v>
          </cell>
        </row>
        <row r="592">
          <cell r="A592" t="e">
            <v>#REF!</v>
          </cell>
          <cell r="B592" t="e">
            <v>#REF!</v>
          </cell>
          <cell r="C592" t="e">
            <v>#REF!</v>
          </cell>
          <cell r="D592" t="e">
            <v>#REF!</v>
          </cell>
          <cell r="E592" t="e">
            <v>#REF!</v>
          </cell>
        </row>
        <row r="593">
          <cell r="A593" t="e">
            <v>#REF!</v>
          </cell>
          <cell r="B593" t="e">
            <v>#REF!</v>
          </cell>
          <cell r="C593" t="e">
            <v>#REF!</v>
          </cell>
          <cell r="D593" t="e">
            <v>#REF!</v>
          </cell>
          <cell r="E593" t="e">
            <v>#REF!</v>
          </cell>
        </row>
        <row r="594">
          <cell r="A594" t="e">
            <v>#REF!</v>
          </cell>
          <cell r="B594" t="e">
            <v>#REF!</v>
          </cell>
          <cell r="C594" t="e">
            <v>#REF!</v>
          </cell>
          <cell r="D594" t="e">
            <v>#REF!</v>
          </cell>
          <cell r="E594" t="e">
            <v>#REF!</v>
          </cell>
        </row>
        <row r="595">
          <cell r="A595" t="e">
            <v>#REF!</v>
          </cell>
          <cell r="B595" t="e">
            <v>#REF!</v>
          </cell>
          <cell r="C595" t="e">
            <v>#REF!</v>
          </cell>
          <cell r="D595" t="e">
            <v>#REF!</v>
          </cell>
          <cell r="E595" t="e">
            <v>#REF!</v>
          </cell>
        </row>
        <row r="596">
          <cell r="A596" t="e">
            <v>#REF!</v>
          </cell>
          <cell r="B596" t="e">
            <v>#REF!</v>
          </cell>
          <cell r="C596" t="e">
            <v>#REF!</v>
          </cell>
          <cell r="D596" t="e">
            <v>#REF!</v>
          </cell>
          <cell r="E596" t="e">
            <v>#REF!</v>
          </cell>
        </row>
        <row r="597">
          <cell r="A597" t="e">
            <v>#REF!</v>
          </cell>
          <cell r="B597" t="e">
            <v>#REF!</v>
          </cell>
          <cell r="C597" t="e">
            <v>#REF!</v>
          </cell>
          <cell r="D597" t="e">
            <v>#REF!</v>
          </cell>
          <cell r="E597" t="e">
            <v>#REF!</v>
          </cell>
        </row>
        <row r="598">
          <cell r="A598" t="e">
            <v>#REF!</v>
          </cell>
          <cell r="B598" t="e">
            <v>#REF!</v>
          </cell>
          <cell r="C598" t="e">
            <v>#REF!</v>
          </cell>
          <cell r="D598" t="e">
            <v>#REF!</v>
          </cell>
          <cell r="E598" t="e">
            <v>#REF!</v>
          </cell>
        </row>
        <row r="599">
          <cell r="A599" t="e">
            <v>#REF!</v>
          </cell>
          <cell r="B599" t="e">
            <v>#REF!</v>
          </cell>
          <cell r="C599" t="e">
            <v>#REF!</v>
          </cell>
          <cell r="D599" t="e">
            <v>#REF!</v>
          </cell>
          <cell r="E599" t="e">
            <v>#REF!</v>
          </cell>
        </row>
        <row r="600">
          <cell r="A600" t="e">
            <v>#REF!</v>
          </cell>
          <cell r="B600" t="e">
            <v>#REF!</v>
          </cell>
          <cell r="C600" t="e">
            <v>#REF!</v>
          </cell>
          <cell r="D600" t="e">
            <v>#REF!</v>
          </cell>
          <cell r="E600" t="e">
            <v>#REF!</v>
          </cell>
        </row>
        <row r="601">
          <cell r="A601" t="e">
            <v>#REF!</v>
          </cell>
          <cell r="B601" t="e">
            <v>#REF!</v>
          </cell>
          <cell r="C601" t="e">
            <v>#REF!</v>
          </cell>
          <cell r="D601" t="e">
            <v>#REF!</v>
          </cell>
          <cell r="E601" t="e">
            <v>#REF!</v>
          </cell>
        </row>
        <row r="602">
          <cell r="A602" t="e">
            <v>#REF!</v>
          </cell>
          <cell r="B602" t="e">
            <v>#REF!</v>
          </cell>
          <cell r="C602" t="e">
            <v>#REF!</v>
          </cell>
          <cell r="D602" t="e">
            <v>#REF!</v>
          </cell>
          <cell r="E602" t="e">
            <v>#REF!</v>
          </cell>
        </row>
        <row r="603">
          <cell r="A603" t="e">
            <v>#REF!</v>
          </cell>
          <cell r="B603" t="e">
            <v>#REF!</v>
          </cell>
          <cell r="C603" t="e">
            <v>#REF!</v>
          </cell>
          <cell r="D603" t="e">
            <v>#REF!</v>
          </cell>
          <cell r="E603" t="e">
            <v>#REF!</v>
          </cell>
        </row>
        <row r="604">
          <cell r="A604" t="e">
            <v>#REF!</v>
          </cell>
          <cell r="B604" t="e">
            <v>#REF!</v>
          </cell>
          <cell r="C604" t="e">
            <v>#REF!</v>
          </cell>
          <cell r="D604" t="e">
            <v>#REF!</v>
          </cell>
          <cell r="E604" t="e">
            <v>#REF!</v>
          </cell>
        </row>
        <row r="605">
          <cell r="A605" t="e">
            <v>#REF!</v>
          </cell>
          <cell r="B605" t="e">
            <v>#REF!</v>
          </cell>
          <cell r="C605" t="e">
            <v>#REF!</v>
          </cell>
          <cell r="D605" t="e">
            <v>#REF!</v>
          </cell>
          <cell r="E605" t="e">
            <v>#REF!</v>
          </cell>
        </row>
        <row r="606">
          <cell r="A606" t="e">
            <v>#REF!</v>
          </cell>
          <cell r="B606" t="e">
            <v>#REF!</v>
          </cell>
          <cell r="C606" t="e">
            <v>#REF!</v>
          </cell>
          <cell r="D606" t="e">
            <v>#REF!</v>
          </cell>
          <cell r="E606" t="e">
            <v>#REF!</v>
          </cell>
        </row>
        <row r="607">
          <cell r="A607" t="e">
            <v>#REF!</v>
          </cell>
          <cell r="B607" t="e">
            <v>#REF!</v>
          </cell>
          <cell r="C607" t="e">
            <v>#REF!</v>
          </cell>
          <cell r="D607" t="e">
            <v>#REF!</v>
          </cell>
          <cell r="E607" t="e">
            <v>#REF!</v>
          </cell>
        </row>
        <row r="608">
          <cell r="A608" t="e">
            <v>#REF!</v>
          </cell>
          <cell r="B608" t="e">
            <v>#REF!</v>
          </cell>
          <cell r="C608" t="e">
            <v>#REF!</v>
          </cell>
          <cell r="D608" t="e">
            <v>#REF!</v>
          </cell>
          <cell r="E608" t="e">
            <v>#REF!</v>
          </cell>
        </row>
        <row r="609">
          <cell r="A609" t="e">
            <v>#REF!</v>
          </cell>
          <cell r="B609" t="e">
            <v>#REF!</v>
          </cell>
          <cell r="C609" t="e">
            <v>#REF!</v>
          </cell>
          <cell r="D609" t="e">
            <v>#REF!</v>
          </cell>
          <cell r="E609" t="e">
            <v>#REF!</v>
          </cell>
        </row>
        <row r="610">
          <cell r="A610" t="e">
            <v>#REF!</v>
          </cell>
          <cell r="B610" t="e">
            <v>#REF!</v>
          </cell>
          <cell r="C610" t="e">
            <v>#REF!</v>
          </cell>
          <cell r="D610" t="e">
            <v>#REF!</v>
          </cell>
          <cell r="E610" t="e">
            <v>#REF!</v>
          </cell>
        </row>
        <row r="611">
          <cell r="A611" t="e">
            <v>#REF!</v>
          </cell>
          <cell r="B611" t="e">
            <v>#REF!</v>
          </cell>
          <cell r="C611" t="e">
            <v>#REF!</v>
          </cell>
          <cell r="D611" t="e">
            <v>#REF!</v>
          </cell>
          <cell r="E611" t="e">
            <v>#REF!</v>
          </cell>
        </row>
        <row r="612">
          <cell r="A612" t="e">
            <v>#REF!</v>
          </cell>
          <cell r="B612" t="e">
            <v>#REF!</v>
          </cell>
          <cell r="C612" t="e">
            <v>#REF!</v>
          </cell>
          <cell r="D612" t="e">
            <v>#REF!</v>
          </cell>
          <cell r="E612" t="e">
            <v>#REF!</v>
          </cell>
        </row>
        <row r="613">
          <cell r="A613" t="e">
            <v>#REF!</v>
          </cell>
          <cell r="B613" t="e">
            <v>#REF!</v>
          </cell>
          <cell r="C613" t="e">
            <v>#REF!</v>
          </cell>
          <cell r="D613" t="e">
            <v>#REF!</v>
          </cell>
          <cell r="E613" t="e">
            <v>#REF!</v>
          </cell>
        </row>
        <row r="614">
          <cell r="A614" t="e">
            <v>#REF!</v>
          </cell>
          <cell r="B614" t="e">
            <v>#REF!</v>
          </cell>
          <cell r="C614" t="e">
            <v>#REF!</v>
          </cell>
          <cell r="D614" t="e">
            <v>#REF!</v>
          </cell>
          <cell r="E614" t="e">
            <v>#REF!</v>
          </cell>
        </row>
        <row r="615">
          <cell r="A615" t="e">
            <v>#REF!</v>
          </cell>
          <cell r="B615" t="e">
            <v>#REF!</v>
          </cell>
          <cell r="C615" t="e">
            <v>#REF!</v>
          </cell>
          <cell r="D615" t="e">
            <v>#REF!</v>
          </cell>
          <cell r="E615" t="e">
            <v>#REF!</v>
          </cell>
        </row>
        <row r="616">
          <cell r="A616" t="e">
            <v>#REF!</v>
          </cell>
          <cell r="B616" t="e">
            <v>#REF!</v>
          </cell>
          <cell r="C616" t="e">
            <v>#REF!</v>
          </cell>
          <cell r="D616" t="e">
            <v>#REF!</v>
          </cell>
          <cell r="E616" t="e">
            <v>#REF!</v>
          </cell>
        </row>
        <row r="617">
          <cell r="A617" t="e">
            <v>#REF!</v>
          </cell>
          <cell r="B617" t="e">
            <v>#REF!</v>
          </cell>
          <cell r="C617" t="e">
            <v>#REF!</v>
          </cell>
          <cell r="D617" t="e">
            <v>#REF!</v>
          </cell>
          <cell r="E617" t="e">
            <v>#REF!</v>
          </cell>
        </row>
        <row r="618">
          <cell r="A618" t="e">
            <v>#REF!</v>
          </cell>
          <cell r="B618" t="e">
            <v>#REF!</v>
          </cell>
          <cell r="C618" t="e">
            <v>#REF!</v>
          </cell>
          <cell r="D618" t="e">
            <v>#REF!</v>
          </cell>
          <cell r="E618" t="e">
            <v>#REF!</v>
          </cell>
        </row>
        <row r="619">
          <cell r="A619" t="e">
            <v>#REF!</v>
          </cell>
          <cell r="B619" t="e">
            <v>#REF!</v>
          </cell>
          <cell r="C619" t="e">
            <v>#REF!</v>
          </cell>
          <cell r="D619" t="e">
            <v>#REF!</v>
          </cell>
          <cell r="E619" t="e">
            <v>#REF!</v>
          </cell>
        </row>
        <row r="620">
          <cell r="A620" t="e">
            <v>#REF!</v>
          </cell>
          <cell r="B620" t="e">
            <v>#REF!</v>
          </cell>
          <cell r="C620" t="e">
            <v>#REF!</v>
          </cell>
          <cell r="D620" t="e">
            <v>#REF!</v>
          </cell>
          <cell r="E620" t="e">
            <v>#REF!</v>
          </cell>
        </row>
        <row r="621">
          <cell r="A621" t="e">
            <v>#REF!</v>
          </cell>
          <cell r="B621" t="e">
            <v>#REF!</v>
          </cell>
          <cell r="C621" t="e">
            <v>#REF!</v>
          </cell>
          <cell r="D621" t="e">
            <v>#REF!</v>
          </cell>
          <cell r="E621" t="e">
            <v>#REF!</v>
          </cell>
        </row>
        <row r="622">
          <cell r="A622" t="e">
            <v>#REF!</v>
          </cell>
          <cell r="B622" t="e">
            <v>#REF!</v>
          </cell>
          <cell r="C622" t="e">
            <v>#REF!</v>
          </cell>
          <cell r="D622" t="e">
            <v>#REF!</v>
          </cell>
          <cell r="E622" t="e">
            <v>#REF!</v>
          </cell>
        </row>
        <row r="623">
          <cell r="A623" t="e">
            <v>#REF!</v>
          </cell>
          <cell r="B623" t="e">
            <v>#REF!</v>
          </cell>
          <cell r="C623" t="e">
            <v>#REF!</v>
          </cell>
          <cell r="D623" t="e">
            <v>#REF!</v>
          </cell>
          <cell r="E623" t="e">
            <v>#REF!</v>
          </cell>
        </row>
        <row r="624">
          <cell r="A624" t="e">
            <v>#REF!</v>
          </cell>
          <cell r="B624" t="e">
            <v>#REF!</v>
          </cell>
          <cell r="C624" t="e">
            <v>#REF!</v>
          </cell>
          <cell r="D624" t="e">
            <v>#REF!</v>
          </cell>
          <cell r="E624" t="e">
            <v>#REF!</v>
          </cell>
        </row>
        <row r="625">
          <cell r="A625" t="e">
            <v>#REF!</v>
          </cell>
          <cell r="B625" t="e">
            <v>#REF!</v>
          </cell>
          <cell r="C625" t="e">
            <v>#REF!</v>
          </cell>
          <cell r="D625" t="e">
            <v>#REF!</v>
          </cell>
          <cell r="E625" t="e">
            <v>#REF!</v>
          </cell>
        </row>
        <row r="626">
          <cell r="A626" t="e">
            <v>#REF!</v>
          </cell>
          <cell r="B626" t="e">
            <v>#REF!</v>
          </cell>
          <cell r="C626" t="e">
            <v>#REF!</v>
          </cell>
          <cell r="D626" t="e">
            <v>#REF!</v>
          </cell>
          <cell r="E626" t="e">
            <v>#REF!</v>
          </cell>
        </row>
        <row r="627">
          <cell r="A627" t="e">
            <v>#REF!</v>
          </cell>
          <cell r="B627" t="e">
            <v>#REF!</v>
          </cell>
          <cell r="C627" t="e">
            <v>#REF!</v>
          </cell>
          <cell r="D627" t="e">
            <v>#REF!</v>
          </cell>
          <cell r="E627" t="e">
            <v>#REF!</v>
          </cell>
        </row>
        <row r="628">
          <cell r="A628" t="e">
            <v>#REF!</v>
          </cell>
          <cell r="B628" t="e">
            <v>#REF!</v>
          </cell>
          <cell r="C628" t="e">
            <v>#REF!</v>
          </cell>
          <cell r="D628" t="e">
            <v>#REF!</v>
          </cell>
          <cell r="E628" t="e">
            <v>#REF!</v>
          </cell>
        </row>
        <row r="629">
          <cell r="A629" t="e">
            <v>#REF!</v>
          </cell>
          <cell r="B629" t="e">
            <v>#REF!</v>
          </cell>
          <cell r="C629" t="e">
            <v>#REF!</v>
          </cell>
          <cell r="D629" t="e">
            <v>#REF!</v>
          </cell>
          <cell r="E629" t="e">
            <v>#REF!</v>
          </cell>
        </row>
        <row r="630">
          <cell r="A630" t="e">
            <v>#REF!</v>
          </cell>
          <cell r="B630" t="e">
            <v>#REF!</v>
          </cell>
          <cell r="C630" t="e">
            <v>#REF!</v>
          </cell>
          <cell r="D630" t="e">
            <v>#REF!</v>
          </cell>
          <cell r="E630" t="e">
            <v>#REF!</v>
          </cell>
        </row>
        <row r="631">
          <cell r="A631" t="e">
            <v>#REF!</v>
          </cell>
          <cell r="B631" t="e">
            <v>#REF!</v>
          </cell>
          <cell r="C631" t="e">
            <v>#REF!</v>
          </cell>
          <cell r="D631" t="e">
            <v>#REF!</v>
          </cell>
          <cell r="E631" t="e">
            <v>#REF!</v>
          </cell>
        </row>
        <row r="632">
          <cell r="A632" t="e">
            <v>#REF!</v>
          </cell>
          <cell r="B632" t="e">
            <v>#REF!</v>
          </cell>
          <cell r="C632" t="e">
            <v>#REF!</v>
          </cell>
          <cell r="D632" t="e">
            <v>#REF!</v>
          </cell>
          <cell r="E632" t="e">
            <v>#REF!</v>
          </cell>
        </row>
        <row r="633">
          <cell r="A633" t="e">
            <v>#REF!</v>
          </cell>
          <cell r="B633" t="e">
            <v>#REF!</v>
          </cell>
          <cell r="C633" t="e">
            <v>#REF!</v>
          </cell>
          <cell r="D633" t="e">
            <v>#REF!</v>
          </cell>
          <cell r="E633" t="e">
            <v>#REF!</v>
          </cell>
        </row>
        <row r="634">
          <cell r="A634" t="e">
            <v>#REF!</v>
          </cell>
          <cell r="B634" t="e">
            <v>#REF!</v>
          </cell>
          <cell r="C634" t="e">
            <v>#REF!</v>
          </cell>
          <cell r="D634" t="e">
            <v>#REF!</v>
          </cell>
          <cell r="E634" t="e">
            <v>#REF!</v>
          </cell>
        </row>
        <row r="635">
          <cell r="A635" t="e">
            <v>#REF!</v>
          </cell>
          <cell r="B635" t="e">
            <v>#REF!</v>
          </cell>
          <cell r="C635" t="e">
            <v>#REF!</v>
          </cell>
          <cell r="D635" t="e">
            <v>#REF!</v>
          </cell>
          <cell r="E635" t="e">
            <v>#REF!</v>
          </cell>
        </row>
        <row r="636">
          <cell r="A636" t="e">
            <v>#REF!</v>
          </cell>
          <cell r="B636" t="e">
            <v>#REF!</v>
          </cell>
          <cell r="C636" t="e">
            <v>#REF!</v>
          </cell>
          <cell r="D636" t="e">
            <v>#REF!</v>
          </cell>
          <cell r="E636" t="e">
            <v>#REF!</v>
          </cell>
        </row>
        <row r="637">
          <cell r="A637" t="e">
            <v>#REF!</v>
          </cell>
          <cell r="B637" t="e">
            <v>#REF!</v>
          </cell>
          <cell r="C637" t="e">
            <v>#REF!</v>
          </cell>
          <cell r="D637" t="e">
            <v>#REF!</v>
          </cell>
          <cell r="E637" t="e">
            <v>#REF!</v>
          </cell>
        </row>
        <row r="638">
          <cell r="A638" t="e">
            <v>#REF!</v>
          </cell>
          <cell r="B638" t="e">
            <v>#REF!</v>
          </cell>
          <cell r="C638" t="e">
            <v>#REF!</v>
          </cell>
          <cell r="D638" t="e">
            <v>#REF!</v>
          </cell>
          <cell r="E638" t="e">
            <v>#REF!</v>
          </cell>
        </row>
        <row r="639">
          <cell r="A639" t="e">
            <v>#REF!</v>
          </cell>
          <cell r="B639" t="e">
            <v>#REF!</v>
          </cell>
          <cell r="C639" t="e">
            <v>#REF!</v>
          </cell>
          <cell r="D639" t="e">
            <v>#REF!</v>
          </cell>
          <cell r="E639" t="e">
            <v>#REF!</v>
          </cell>
        </row>
        <row r="640">
          <cell r="A640" t="e">
            <v>#REF!</v>
          </cell>
          <cell r="B640" t="e">
            <v>#REF!</v>
          </cell>
          <cell r="C640" t="e">
            <v>#REF!</v>
          </cell>
          <cell r="D640" t="e">
            <v>#REF!</v>
          </cell>
          <cell r="E640" t="e">
            <v>#REF!</v>
          </cell>
        </row>
        <row r="641">
          <cell r="A641" t="e">
            <v>#REF!</v>
          </cell>
          <cell r="B641" t="e">
            <v>#REF!</v>
          </cell>
          <cell r="C641" t="e">
            <v>#REF!</v>
          </cell>
          <cell r="D641" t="e">
            <v>#REF!</v>
          </cell>
          <cell r="E641" t="e">
            <v>#REF!</v>
          </cell>
        </row>
        <row r="642">
          <cell r="A642" t="e">
            <v>#REF!</v>
          </cell>
          <cell r="B642" t="e">
            <v>#REF!</v>
          </cell>
          <cell r="C642" t="e">
            <v>#REF!</v>
          </cell>
          <cell r="D642" t="e">
            <v>#REF!</v>
          </cell>
          <cell r="E642" t="e">
            <v>#REF!</v>
          </cell>
        </row>
        <row r="643">
          <cell r="A643" t="e">
            <v>#REF!</v>
          </cell>
          <cell r="B643" t="e">
            <v>#REF!</v>
          </cell>
          <cell r="C643" t="e">
            <v>#REF!</v>
          </cell>
          <cell r="D643" t="e">
            <v>#REF!</v>
          </cell>
          <cell r="E643" t="e">
            <v>#REF!</v>
          </cell>
        </row>
        <row r="644">
          <cell r="A644" t="e">
            <v>#REF!</v>
          </cell>
          <cell r="B644" t="e">
            <v>#REF!</v>
          </cell>
          <cell r="C644" t="e">
            <v>#REF!</v>
          </cell>
          <cell r="D644" t="e">
            <v>#REF!</v>
          </cell>
          <cell r="E644" t="e">
            <v>#REF!</v>
          </cell>
        </row>
        <row r="645">
          <cell r="A645" t="e">
            <v>#REF!</v>
          </cell>
          <cell r="B645" t="e">
            <v>#REF!</v>
          </cell>
          <cell r="C645" t="e">
            <v>#REF!</v>
          </cell>
          <cell r="D645" t="e">
            <v>#REF!</v>
          </cell>
          <cell r="E645" t="e">
            <v>#REF!</v>
          </cell>
        </row>
        <row r="646">
          <cell r="A646" t="e">
            <v>#REF!</v>
          </cell>
          <cell r="B646" t="e">
            <v>#REF!</v>
          </cell>
          <cell r="C646" t="e">
            <v>#REF!</v>
          </cell>
          <cell r="D646" t="e">
            <v>#REF!</v>
          </cell>
          <cell r="E646" t="e">
            <v>#REF!</v>
          </cell>
        </row>
        <row r="647">
          <cell r="A647" t="e">
            <v>#REF!</v>
          </cell>
          <cell r="B647" t="e">
            <v>#REF!</v>
          </cell>
          <cell r="C647" t="e">
            <v>#REF!</v>
          </cell>
          <cell r="D647" t="e">
            <v>#REF!</v>
          </cell>
          <cell r="E647" t="e">
            <v>#REF!</v>
          </cell>
        </row>
        <row r="648">
          <cell r="A648" t="e">
            <v>#REF!</v>
          </cell>
          <cell r="B648" t="e">
            <v>#REF!</v>
          </cell>
          <cell r="C648" t="e">
            <v>#REF!</v>
          </cell>
          <cell r="D648" t="e">
            <v>#REF!</v>
          </cell>
          <cell r="E648" t="e">
            <v>#REF!</v>
          </cell>
        </row>
        <row r="649">
          <cell r="A649" t="e">
            <v>#REF!</v>
          </cell>
          <cell r="B649" t="e">
            <v>#REF!</v>
          </cell>
          <cell r="C649" t="e">
            <v>#REF!</v>
          </cell>
          <cell r="D649" t="e">
            <v>#REF!</v>
          </cell>
          <cell r="E649" t="e">
            <v>#REF!</v>
          </cell>
        </row>
        <row r="650">
          <cell r="A650" t="e">
            <v>#REF!</v>
          </cell>
          <cell r="B650" t="e">
            <v>#REF!</v>
          </cell>
          <cell r="C650" t="e">
            <v>#REF!</v>
          </cell>
          <cell r="D650" t="e">
            <v>#REF!</v>
          </cell>
          <cell r="E650" t="e">
            <v>#REF!</v>
          </cell>
        </row>
        <row r="651">
          <cell r="A651" t="e">
            <v>#REF!</v>
          </cell>
          <cell r="B651" t="e">
            <v>#REF!</v>
          </cell>
          <cell r="C651" t="e">
            <v>#REF!</v>
          </cell>
          <cell r="D651" t="e">
            <v>#REF!</v>
          </cell>
          <cell r="E651" t="e">
            <v>#REF!</v>
          </cell>
        </row>
        <row r="652">
          <cell r="A652" t="e">
            <v>#REF!</v>
          </cell>
          <cell r="B652" t="e">
            <v>#REF!</v>
          </cell>
          <cell r="C652" t="e">
            <v>#REF!</v>
          </cell>
          <cell r="D652" t="e">
            <v>#REF!</v>
          </cell>
          <cell r="E652" t="e">
            <v>#REF!</v>
          </cell>
        </row>
        <row r="653">
          <cell r="A653" t="e">
            <v>#REF!</v>
          </cell>
          <cell r="B653" t="e">
            <v>#REF!</v>
          </cell>
          <cell r="C653" t="e">
            <v>#REF!</v>
          </cell>
          <cell r="D653" t="e">
            <v>#REF!</v>
          </cell>
          <cell r="E653" t="e">
            <v>#REF!</v>
          </cell>
        </row>
        <row r="654">
          <cell r="A654" t="e">
            <v>#REF!</v>
          </cell>
          <cell r="B654" t="e">
            <v>#REF!</v>
          </cell>
          <cell r="C654" t="e">
            <v>#REF!</v>
          </cell>
          <cell r="D654" t="e">
            <v>#REF!</v>
          </cell>
          <cell r="E654" t="e">
            <v>#REF!</v>
          </cell>
        </row>
        <row r="655">
          <cell r="A655" t="e">
            <v>#REF!</v>
          </cell>
          <cell r="B655" t="e">
            <v>#REF!</v>
          </cell>
          <cell r="C655" t="e">
            <v>#REF!</v>
          </cell>
          <cell r="D655" t="e">
            <v>#REF!</v>
          </cell>
          <cell r="E655" t="e">
            <v>#REF!</v>
          </cell>
        </row>
        <row r="656">
          <cell r="A656" t="e">
            <v>#REF!</v>
          </cell>
          <cell r="B656" t="e">
            <v>#REF!</v>
          </cell>
          <cell r="C656" t="e">
            <v>#REF!</v>
          </cell>
          <cell r="D656" t="e">
            <v>#REF!</v>
          </cell>
          <cell r="E656" t="e">
            <v>#REF!</v>
          </cell>
        </row>
        <row r="657">
          <cell r="A657" t="e">
            <v>#REF!</v>
          </cell>
          <cell r="B657" t="e">
            <v>#REF!</v>
          </cell>
          <cell r="C657" t="e">
            <v>#REF!</v>
          </cell>
          <cell r="D657" t="e">
            <v>#REF!</v>
          </cell>
          <cell r="E657" t="e">
            <v>#REF!</v>
          </cell>
        </row>
        <row r="658">
          <cell r="A658" t="e">
            <v>#REF!</v>
          </cell>
          <cell r="B658" t="e">
            <v>#REF!</v>
          </cell>
          <cell r="C658" t="e">
            <v>#REF!</v>
          </cell>
          <cell r="D658" t="e">
            <v>#REF!</v>
          </cell>
          <cell r="E658" t="e">
            <v>#REF!</v>
          </cell>
        </row>
        <row r="659">
          <cell r="A659" t="e">
            <v>#REF!</v>
          </cell>
          <cell r="B659" t="e">
            <v>#REF!</v>
          </cell>
          <cell r="C659" t="e">
            <v>#REF!</v>
          </cell>
          <cell r="D659" t="e">
            <v>#REF!</v>
          </cell>
          <cell r="E659" t="e">
            <v>#REF!</v>
          </cell>
        </row>
        <row r="660">
          <cell r="A660" t="e">
            <v>#REF!</v>
          </cell>
          <cell r="B660" t="e">
            <v>#REF!</v>
          </cell>
          <cell r="C660" t="e">
            <v>#REF!</v>
          </cell>
          <cell r="D660" t="e">
            <v>#REF!</v>
          </cell>
          <cell r="E660" t="e">
            <v>#REF!</v>
          </cell>
        </row>
        <row r="661">
          <cell r="A661" t="e">
            <v>#REF!</v>
          </cell>
          <cell r="B661" t="e">
            <v>#REF!</v>
          </cell>
          <cell r="C661" t="e">
            <v>#REF!</v>
          </cell>
          <cell r="D661" t="e">
            <v>#REF!</v>
          </cell>
          <cell r="E661" t="e">
            <v>#REF!</v>
          </cell>
        </row>
        <row r="662">
          <cell r="A662" t="e">
            <v>#REF!</v>
          </cell>
          <cell r="B662" t="e">
            <v>#REF!</v>
          </cell>
          <cell r="C662" t="e">
            <v>#REF!</v>
          </cell>
          <cell r="D662" t="e">
            <v>#REF!</v>
          </cell>
          <cell r="E662" t="e">
            <v>#REF!</v>
          </cell>
        </row>
        <row r="663">
          <cell r="A663" t="e">
            <v>#REF!</v>
          </cell>
          <cell r="B663" t="e">
            <v>#REF!</v>
          </cell>
          <cell r="C663" t="e">
            <v>#REF!</v>
          </cell>
          <cell r="D663" t="e">
            <v>#REF!</v>
          </cell>
          <cell r="E663" t="e">
            <v>#REF!</v>
          </cell>
        </row>
        <row r="664">
          <cell r="A664" t="e">
            <v>#REF!</v>
          </cell>
          <cell r="B664" t="e">
            <v>#REF!</v>
          </cell>
          <cell r="C664" t="e">
            <v>#REF!</v>
          </cell>
          <cell r="D664" t="e">
            <v>#REF!</v>
          </cell>
          <cell r="E664" t="e">
            <v>#REF!</v>
          </cell>
        </row>
        <row r="665">
          <cell r="A665" t="e">
            <v>#REF!</v>
          </cell>
          <cell r="B665" t="e">
            <v>#REF!</v>
          </cell>
          <cell r="C665" t="e">
            <v>#REF!</v>
          </cell>
          <cell r="D665" t="e">
            <v>#REF!</v>
          </cell>
          <cell r="E665" t="e">
            <v>#REF!</v>
          </cell>
        </row>
        <row r="666">
          <cell r="A666" t="e">
            <v>#REF!</v>
          </cell>
          <cell r="B666" t="e">
            <v>#REF!</v>
          </cell>
          <cell r="C666" t="e">
            <v>#REF!</v>
          </cell>
          <cell r="D666" t="e">
            <v>#REF!</v>
          </cell>
          <cell r="E666" t="e">
            <v>#REF!</v>
          </cell>
        </row>
        <row r="667">
          <cell r="A667" t="e">
            <v>#REF!</v>
          </cell>
          <cell r="B667" t="e">
            <v>#REF!</v>
          </cell>
          <cell r="C667" t="e">
            <v>#REF!</v>
          </cell>
          <cell r="D667" t="e">
            <v>#REF!</v>
          </cell>
          <cell r="E667" t="e">
            <v>#REF!</v>
          </cell>
        </row>
        <row r="668">
          <cell r="A668" t="e">
            <v>#REF!</v>
          </cell>
          <cell r="B668" t="e">
            <v>#REF!</v>
          </cell>
          <cell r="C668" t="e">
            <v>#REF!</v>
          </cell>
          <cell r="D668" t="e">
            <v>#REF!</v>
          </cell>
          <cell r="E668" t="e">
            <v>#REF!</v>
          </cell>
        </row>
        <row r="669">
          <cell r="A669" t="e">
            <v>#REF!</v>
          </cell>
          <cell r="B669" t="e">
            <v>#REF!</v>
          </cell>
          <cell r="C669" t="e">
            <v>#REF!</v>
          </cell>
          <cell r="D669" t="e">
            <v>#REF!</v>
          </cell>
          <cell r="E669" t="e">
            <v>#REF!</v>
          </cell>
        </row>
        <row r="670">
          <cell r="A670" t="e">
            <v>#REF!</v>
          </cell>
          <cell r="B670" t="e">
            <v>#REF!</v>
          </cell>
          <cell r="C670" t="e">
            <v>#REF!</v>
          </cell>
          <cell r="D670" t="e">
            <v>#REF!</v>
          </cell>
          <cell r="E670" t="e">
            <v>#REF!</v>
          </cell>
        </row>
        <row r="671">
          <cell r="A671" t="e">
            <v>#REF!</v>
          </cell>
          <cell r="B671" t="e">
            <v>#REF!</v>
          </cell>
          <cell r="C671" t="e">
            <v>#REF!</v>
          </cell>
          <cell r="D671" t="e">
            <v>#REF!</v>
          </cell>
          <cell r="E671" t="e">
            <v>#REF!</v>
          </cell>
        </row>
        <row r="672">
          <cell r="A672" t="e">
            <v>#REF!</v>
          </cell>
          <cell r="B672" t="e">
            <v>#REF!</v>
          </cell>
          <cell r="C672" t="e">
            <v>#REF!</v>
          </cell>
          <cell r="D672" t="e">
            <v>#REF!</v>
          </cell>
          <cell r="E672" t="e">
            <v>#REF!</v>
          </cell>
        </row>
        <row r="673">
          <cell r="A673" t="e">
            <v>#REF!</v>
          </cell>
          <cell r="B673" t="e">
            <v>#REF!</v>
          </cell>
          <cell r="C673" t="e">
            <v>#REF!</v>
          </cell>
          <cell r="D673" t="e">
            <v>#REF!</v>
          </cell>
          <cell r="E673" t="e">
            <v>#REF!</v>
          </cell>
        </row>
        <row r="674">
          <cell r="A674" t="e">
            <v>#REF!</v>
          </cell>
          <cell r="B674" t="e">
            <v>#REF!</v>
          </cell>
          <cell r="C674" t="e">
            <v>#REF!</v>
          </cell>
          <cell r="D674" t="e">
            <v>#REF!</v>
          </cell>
          <cell r="E674" t="e">
            <v>#REF!</v>
          </cell>
        </row>
        <row r="675">
          <cell r="A675" t="e">
            <v>#REF!</v>
          </cell>
          <cell r="B675" t="e">
            <v>#REF!</v>
          </cell>
          <cell r="C675" t="e">
            <v>#REF!</v>
          </cell>
          <cell r="D675" t="e">
            <v>#REF!</v>
          </cell>
          <cell r="E675" t="e">
            <v>#REF!</v>
          </cell>
        </row>
        <row r="676">
          <cell r="A676" t="e">
            <v>#REF!</v>
          </cell>
          <cell r="B676" t="e">
            <v>#REF!</v>
          </cell>
          <cell r="C676" t="e">
            <v>#REF!</v>
          </cell>
          <cell r="D676" t="e">
            <v>#REF!</v>
          </cell>
          <cell r="E676" t="e">
            <v>#REF!</v>
          </cell>
        </row>
        <row r="677">
          <cell r="A677" t="e">
            <v>#REF!</v>
          </cell>
          <cell r="B677" t="e">
            <v>#REF!</v>
          </cell>
          <cell r="C677" t="e">
            <v>#REF!</v>
          </cell>
          <cell r="D677" t="e">
            <v>#REF!</v>
          </cell>
          <cell r="E677" t="e">
            <v>#REF!</v>
          </cell>
        </row>
        <row r="678">
          <cell r="A678" t="e">
            <v>#REF!</v>
          </cell>
          <cell r="B678" t="e">
            <v>#REF!</v>
          </cell>
          <cell r="C678" t="e">
            <v>#REF!</v>
          </cell>
          <cell r="D678" t="e">
            <v>#REF!</v>
          </cell>
          <cell r="E678" t="e">
            <v>#REF!</v>
          </cell>
        </row>
        <row r="679">
          <cell r="A679" t="e">
            <v>#REF!</v>
          </cell>
          <cell r="B679" t="e">
            <v>#REF!</v>
          </cell>
          <cell r="C679" t="e">
            <v>#REF!</v>
          </cell>
          <cell r="D679" t="e">
            <v>#REF!</v>
          </cell>
          <cell r="E679" t="e">
            <v>#REF!</v>
          </cell>
        </row>
        <row r="680">
          <cell r="A680" t="e">
            <v>#REF!</v>
          </cell>
          <cell r="B680" t="e">
            <v>#REF!</v>
          </cell>
          <cell r="C680" t="e">
            <v>#REF!</v>
          </cell>
          <cell r="D680" t="e">
            <v>#REF!</v>
          </cell>
          <cell r="E680" t="e">
            <v>#REF!</v>
          </cell>
        </row>
        <row r="681">
          <cell r="A681" t="e">
            <v>#REF!</v>
          </cell>
          <cell r="B681" t="e">
            <v>#REF!</v>
          </cell>
          <cell r="C681" t="e">
            <v>#REF!</v>
          </cell>
          <cell r="D681" t="e">
            <v>#REF!</v>
          </cell>
          <cell r="E681" t="e">
            <v>#REF!</v>
          </cell>
        </row>
        <row r="682">
          <cell r="A682" t="e">
            <v>#REF!</v>
          </cell>
          <cell r="B682" t="e">
            <v>#REF!</v>
          </cell>
          <cell r="C682" t="e">
            <v>#REF!</v>
          </cell>
          <cell r="D682" t="e">
            <v>#REF!</v>
          </cell>
          <cell r="E682" t="e">
            <v>#REF!</v>
          </cell>
        </row>
        <row r="683">
          <cell r="A683" t="e">
            <v>#REF!</v>
          </cell>
          <cell r="B683" t="e">
            <v>#REF!</v>
          </cell>
          <cell r="C683" t="e">
            <v>#REF!</v>
          </cell>
          <cell r="D683" t="e">
            <v>#REF!</v>
          </cell>
          <cell r="E683" t="e">
            <v>#REF!</v>
          </cell>
        </row>
        <row r="684">
          <cell r="A684" t="e">
            <v>#REF!</v>
          </cell>
          <cell r="B684" t="e">
            <v>#REF!</v>
          </cell>
          <cell r="C684" t="e">
            <v>#REF!</v>
          </cell>
          <cell r="D684" t="e">
            <v>#REF!</v>
          </cell>
          <cell r="E684" t="e">
            <v>#REF!</v>
          </cell>
        </row>
        <row r="685">
          <cell r="A685" t="e">
            <v>#REF!</v>
          </cell>
          <cell r="B685" t="e">
            <v>#REF!</v>
          </cell>
          <cell r="C685" t="e">
            <v>#REF!</v>
          </cell>
          <cell r="D685" t="e">
            <v>#REF!</v>
          </cell>
          <cell r="E685" t="e">
            <v>#REF!</v>
          </cell>
        </row>
        <row r="686">
          <cell r="A686" t="e">
            <v>#REF!</v>
          </cell>
          <cell r="B686" t="e">
            <v>#REF!</v>
          </cell>
          <cell r="C686" t="e">
            <v>#REF!</v>
          </cell>
          <cell r="D686" t="e">
            <v>#REF!</v>
          </cell>
          <cell r="E686" t="e">
            <v>#REF!</v>
          </cell>
        </row>
        <row r="687">
          <cell r="A687" t="e">
            <v>#REF!</v>
          </cell>
          <cell r="B687" t="e">
            <v>#REF!</v>
          </cell>
          <cell r="C687" t="e">
            <v>#REF!</v>
          </cell>
          <cell r="D687" t="e">
            <v>#REF!</v>
          </cell>
          <cell r="E687" t="e">
            <v>#REF!</v>
          </cell>
        </row>
        <row r="688">
          <cell r="A688" t="e">
            <v>#REF!</v>
          </cell>
          <cell r="B688" t="e">
            <v>#REF!</v>
          </cell>
          <cell r="C688" t="e">
            <v>#REF!</v>
          </cell>
          <cell r="D688" t="e">
            <v>#REF!</v>
          </cell>
          <cell r="E688" t="e">
            <v>#REF!</v>
          </cell>
        </row>
        <row r="689">
          <cell r="A689" t="e">
            <v>#REF!</v>
          </cell>
          <cell r="B689" t="e">
            <v>#REF!</v>
          </cell>
          <cell r="C689" t="e">
            <v>#REF!</v>
          </cell>
          <cell r="D689" t="e">
            <v>#REF!</v>
          </cell>
          <cell r="E689" t="e">
            <v>#REF!</v>
          </cell>
        </row>
        <row r="690">
          <cell r="A690" t="e">
            <v>#REF!</v>
          </cell>
          <cell r="B690" t="e">
            <v>#REF!</v>
          </cell>
          <cell r="C690" t="e">
            <v>#REF!</v>
          </cell>
          <cell r="D690" t="e">
            <v>#REF!</v>
          </cell>
          <cell r="E690" t="e">
            <v>#REF!</v>
          </cell>
        </row>
        <row r="691">
          <cell r="A691" t="e">
            <v>#REF!</v>
          </cell>
          <cell r="B691" t="e">
            <v>#REF!</v>
          </cell>
          <cell r="C691" t="e">
            <v>#REF!</v>
          </cell>
          <cell r="D691" t="e">
            <v>#REF!</v>
          </cell>
          <cell r="E691" t="e">
            <v>#REF!</v>
          </cell>
        </row>
        <row r="692">
          <cell r="A692" t="e">
            <v>#REF!</v>
          </cell>
          <cell r="B692" t="e">
            <v>#REF!</v>
          </cell>
          <cell r="C692" t="e">
            <v>#REF!</v>
          </cell>
          <cell r="D692" t="e">
            <v>#REF!</v>
          </cell>
          <cell r="E692" t="e">
            <v>#REF!</v>
          </cell>
        </row>
        <row r="693">
          <cell r="A693" t="e">
            <v>#REF!</v>
          </cell>
          <cell r="B693" t="e">
            <v>#REF!</v>
          </cell>
          <cell r="C693" t="e">
            <v>#REF!</v>
          </cell>
          <cell r="D693" t="e">
            <v>#REF!</v>
          </cell>
          <cell r="E693" t="e">
            <v>#REF!</v>
          </cell>
        </row>
        <row r="694">
          <cell r="A694" t="e">
            <v>#REF!</v>
          </cell>
          <cell r="B694" t="e">
            <v>#REF!</v>
          </cell>
          <cell r="C694" t="e">
            <v>#REF!</v>
          </cell>
          <cell r="D694" t="e">
            <v>#REF!</v>
          </cell>
          <cell r="E694" t="e">
            <v>#REF!</v>
          </cell>
        </row>
        <row r="695">
          <cell r="A695" t="e">
            <v>#REF!</v>
          </cell>
          <cell r="B695" t="e">
            <v>#REF!</v>
          </cell>
          <cell r="C695" t="e">
            <v>#REF!</v>
          </cell>
          <cell r="D695" t="e">
            <v>#REF!</v>
          </cell>
          <cell r="E695" t="e">
            <v>#REF!</v>
          </cell>
        </row>
        <row r="696">
          <cell r="A696" t="e">
            <v>#REF!</v>
          </cell>
          <cell r="B696" t="e">
            <v>#REF!</v>
          </cell>
          <cell r="C696" t="e">
            <v>#REF!</v>
          </cell>
          <cell r="D696" t="e">
            <v>#REF!</v>
          </cell>
          <cell r="E696" t="e">
            <v>#REF!</v>
          </cell>
        </row>
        <row r="697">
          <cell r="A697" t="e">
            <v>#REF!</v>
          </cell>
          <cell r="B697" t="e">
            <v>#REF!</v>
          </cell>
          <cell r="C697" t="e">
            <v>#REF!</v>
          </cell>
          <cell r="D697" t="e">
            <v>#REF!</v>
          </cell>
          <cell r="E697" t="e">
            <v>#REF!</v>
          </cell>
        </row>
        <row r="698">
          <cell r="A698" t="e">
            <v>#REF!</v>
          </cell>
          <cell r="B698" t="e">
            <v>#REF!</v>
          </cell>
          <cell r="C698" t="e">
            <v>#REF!</v>
          </cell>
          <cell r="D698" t="e">
            <v>#REF!</v>
          </cell>
          <cell r="E698" t="e">
            <v>#REF!</v>
          </cell>
        </row>
        <row r="699">
          <cell r="A699" t="e">
            <v>#REF!</v>
          </cell>
          <cell r="B699" t="e">
            <v>#REF!</v>
          </cell>
          <cell r="C699" t="e">
            <v>#REF!</v>
          </cell>
          <cell r="D699" t="e">
            <v>#REF!</v>
          </cell>
          <cell r="E699" t="e">
            <v>#REF!</v>
          </cell>
        </row>
        <row r="700">
          <cell r="A700" t="e">
            <v>#REF!</v>
          </cell>
          <cell r="B700" t="e">
            <v>#REF!</v>
          </cell>
          <cell r="C700" t="e">
            <v>#REF!</v>
          </cell>
          <cell r="D700" t="e">
            <v>#REF!</v>
          </cell>
          <cell r="E700" t="e">
            <v>#REF!</v>
          </cell>
        </row>
        <row r="701">
          <cell r="A701" t="e">
            <v>#REF!</v>
          </cell>
          <cell r="B701" t="e">
            <v>#REF!</v>
          </cell>
          <cell r="C701" t="e">
            <v>#REF!</v>
          </cell>
          <cell r="D701" t="e">
            <v>#REF!</v>
          </cell>
          <cell r="E701" t="e">
            <v>#REF!</v>
          </cell>
        </row>
        <row r="702">
          <cell r="A702" t="e">
            <v>#REF!</v>
          </cell>
          <cell r="B702" t="e">
            <v>#REF!</v>
          </cell>
          <cell r="C702" t="e">
            <v>#REF!</v>
          </cell>
          <cell r="D702" t="e">
            <v>#REF!</v>
          </cell>
          <cell r="E702" t="e">
            <v>#REF!</v>
          </cell>
        </row>
        <row r="703">
          <cell r="A703" t="e">
            <v>#REF!</v>
          </cell>
          <cell r="B703" t="e">
            <v>#REF!</v>
          </cell>
          <cell r="C703" t="e">
            <v>#REF!</v>
          </cell>
          <cell r="D703" t="e">
            <v>#REF!</v>
          </cell>
          <cell r="E703" t="e">
            <v>#REF!</v>
          </cell>
        </row>
        <row r="704">
          <cell r="A704" t="e">
            <v>#REF!</v>
          </cell>
          <cell r="B704" t="e">
            <v>#REF!</v>
          </cell>
          <cell r="C704" t="e">
            <v>#REF!</v>
          </cell>
          <cell r="D704" t="e">
            <v>#REF!</v>
          </cell>
          <cell r="E704" t="e">
            <v>#REF!</v>
          </cell>
        </row>
        <row r="705">
          <cell r="A705" t="e">
            <v>#REF!</v>
          </cell>
          <cell r="B705" t="e">
            <v>#REF!</v>
          </cell>
          <cell r="C705" t="e">
            <v>#REF!</v>
          </cell>
          <cell r="D705" t="e">
            <v>#REF!</v>
          </cell>
          <cell r="E705" t="e">
            <v>#REF!</v>
          </cell>
        </row>
        <row r="706">
          <cell r="A706" t="e">
            <v>#REF!</v>
          </cell>
          <cell r="B706" t="e">
            <v>#REF!</v>
          </cell>
          <cell r="C706" t="e">
            <v>#REF!</v>
          </cell>
          <cell r="D706" t="e">
            <v>#REF!</v>
          </cell>
          <cell r="E706" t="e">
            <v>#REF!</v>
          </cell>
        </row>
        <row r="707">
          <cell r="A707" t="e">
            <v>#REF!</v>
          </cell>
          <cell r="B707" t="e">
            <v>#REF!</v>
          </cell>
          <cell r="C707" t="e">
            <v>#REF!</v>
          </cell>
          <cell r="D707" t="e">
            <v>#REF!</v>
          </cell>
          <cell r="E707" t="e">
            <v>#REF!</v>
          </cell>
        </row>
        <row r="708">
          <cell r="A708" t="e">
            <v>#REF!</v>
          </cell>
          <cell r="B708" t="e">
            <v>#REF!</v>
          </cell>
          <cell r="C708" t="e">
            <v>#REF!</v>
          </cell>
          <cell r="D708" t="e">
            <v>#REF!</v>
          </cell>
          <cell r="E708" t="e">
            <v>#REF!</v>
          </cell>
        </row>
        <row r="709">
          <cell r="A709" t="e">
            <v>#REF!</v>
          </cell>
          <cell r="B709" t="e">
            <v>#REF!</v>
          </cell>
          <cell r="C709" t="e">
            <v>#REF!</v>
          </cell>
          <cell r="D709" t="e">
            <v>#REF!</v>
          </cell>
          <cell r="E709" t="e">
            <v>#REF!</v>
          </cell>
        </row>
        <row r="710">
          <cell r="A710" t="e">
            <v>#REF!</v>
          </cell>
          <cell r="B710" t="e">
            <v>#REF!</v>
          </cell>
          <cell r="C710" t="e">
            <v>#REF!</v>
          </cell>
          <cell r="D710" t="e">
            <v>#REF!</v>
          </cell>
          <cell r="E710" t="e">
            <v>#REF!</v>
          </cell>
        </row>
        <row r="711">
          <cell r="A711" t="e">
            <v>#REF!</v>
          </cell>
          <cell r="B711" t="e">
            <v>#REF!</v>
          </cell>
          <cell r="C711" t="e">
            <v>#REF!</v>
          </cell>
          <cell r="D711" t="e">
            <v>#REF!</v>
          </cell>
          <cell r="E711" t="e">
            <v>#REF!</v>
          </cell>
        </row>
        <row r="712">
          <cell r="A712" t="e">
            <v>#REF!</v>
          </cell>
          <cell r="B712" t="e">
            <v>#REF!</v>
          </cell>
          <cell r="C712" t="e">
            <v>#REF!</v>
          </cell>
          <cell r="D712" t="e">
            <v>#REF!</v>
          </cell>
          <cell r="E712" t="e">
            <v>#REF!</v>
          </cell>
        </row>
        <row r="713">
          <cell r="A713" t="e">
            <v>#REF!</v>
          </cell>
          <cell r="B713" t="e">
            <v>#REF!</v>
          </cell>
          <cell r="C713" t="e">
            <v>#REF!</v>
          </cell>
          <cell r="D713" t="e">
            <v>#REF!</v>
          </cell>
          <cell r="E713" t="e">
            <v>#REF!</v>
          </cell>
        </row>
        <row r="714">
          <cell r="A714" t="e">
            <v>#REF!</v>
          </cell>
          <cell r="B714" t="e">
            <v>#REF!</v>
          </cell>
          <cell r="C714" t="e">
            <v>#REF!</v>
          </cell>
          <cell r="D714" t="e">
            <v>#REF!</v>
          </cell>
          <cell r="E714" t="e">
            <v>#REF!</v>
          </cell>
        </row>
        <row r="715">
          <cell r="A715" t="e">
            <v>#REF!</v>
          </cell>
          <cell r="B715" t="e">
            <v>#REF!</v>
          </cell>
          <cell r="C715" t="e">
            <v>#REF!</v>
          </cell>
          <cell r="D715" t="e">
            <v>#REF!</v>
          </cell>
          <cell r="E715" t="e">
            <v>#REF!</v>
          </cell>
        </row>
        <row r="716">
          <cell r="A716" t="e">
            <v>#REF!</v>
          </cell>
          <cell r="B716" t="e">
            <v>#REF!</v>
          </cell>
          <cell r="C716" t="e">
            <v>#REF!</v>
          </cell>
          <cell r="D716" t="e">
            <v>#REF!</v>
          </cell>
          <cell r="E716" t="e">
            <v>#REF!</v>
          </cell>
        </row>
        <row r="717">
          <cell r="A717" t="e">
            <v>#REF!</v>
          </cell>
          <cell r="B717" t="e">
            <v>#REF!</v>
          </cell>
          <cell r="C717" t="e">
            <v>#REF!</v>
          </cell>
          <cell r="D717" t="e">
            <v>#REF!</v>
          </cell>
          <cell r="E717" t="e">
            <v>#REF!</v>
          </cell>
        </row>
        <row r="718">
          <cell r="A718" t="e">
            <v>#REF!</v>
          </cell>
          <cell r="B718" t="e">
            <v>#REF!</v>
          </cell>
          <cell r="C718" t="e">
            <v>#REF!</v>
          </cell>
          <cell r="D718" t="e">
            <v>#REF!</v>
          </cell>
          <cell r="E718" t="e">
            <v>#REF!</v>
          </cell>
        </row>
        <row r="719">
          <cell r="A719" t="e">
            <v>#REF!</v>
          </cell>
          <cell r="B719" t="e">
            <v>#REF!</v>
          </cell>
          <cell r="C719" t="e">
            <v>#REF!</v>
          </cell>
          <cell r="D719" t="e">
            <v>#REF!</v>
          </cell>
          <cell r="E719" t="e">
            <v>#REF!</v>
          </cell>
        </row>
        <row r="720">
          <cell r="A720" t="e">
            <v>#REF!</v>
          </cell>
          <cell r="B720" t="e">
            <v>#REF!</v>
          </cell>
          <cell r="C720" t="e">
            <v>#REF!</v>
          </cell>
          <cell r="D720" t="e">
            <v>#REF!</v>
          </cell>
          <cell r="E720" t="e">
            <v>#REF!</v>
          </cell>
        </row>
        <row r="721">
          <cell r="A721" t="e">
            <v>#REF!</v>
          </cell>
          <cell r="B721" t="e">
            <v>#REF!</v>
          </cell>
          <cell r="C721" t="e">
            <v>#REF!</v>
          </cell>
          <cell r="D721" t="e">
            <v>#REF!</v>
          </cell>
          <cell r="E721" t="e">
            <v>#REF!</v>
          </cell>
        </row>
        <row r="722">
          <cell r="A722" t="e">
            <v>#REF!</v>
          </cell>
          <cell r="B722" t="e">
            <v>#REF!</v>
          </cell>
          <cell r="C722" t="e">
            <v>#REF!</v>
          </cell>
          <cell r="D722" t="e">
            <v>#REF!</v>
          </cell>
          <cell r="E722" t="e">
            <v>#REF!</v>
          </cell>
        </row>
        <row r="723">
          <cell r="A723" t="e">
            <v>#REF!</v>
          </cell>
          <cell r="B723" t="e">
            <v>#REF!</v>
          </cell>
          <cell r="C723" t="e">
            <v>#REF!</v>
          </cell>
          <cell r="D723" t="e">
            <v>#REF!</v>
          </cell>
          <cell r="E723" t="e">
            <v>#REF!</v>
          </cell>
        </row>
        <row r="724">
          <cell r="A724" t="e">
            <v>#REF!</v>
          </cell>
          <cell r="B724" t="e">
            <v>#REF!</v>
          </cell>
          <cell r="C724" t="e">
            <v>#REF!</v>
          </cell>
          <cell r="D724" t="e">
            <v>#REF!</v>
          </cell>
          <cell r="E724" t="e">
            <v>#REF!</v>
          </cell>
        </row>
        <row r="725">
          <cell r="A725" t="e">
            <v>#REF!</v>
          </cell>
          <cell r="B725" t="e">
            <v>#REF!</v>
          </cell>
          <cell r="C725" t="e">
            <v>#REF!</v>
          </cell>
          <cell r="D725" t="e">
            <v>#REF!</v>
          </cell>
          <cell r="E725" t="e">
            <v>#REF!</v>
          </cell>
        </row>
        <row r="726">
          <cell r="A726" t="e">
            <v>#REF!</v>
          </cell>
          <cell r="B726" t="e">
            <v>#REF!</v>
          </cell>
          <cell r="C726" t="e">
            <v>#REF!</v>
          </cell>
          <cell r="D726" t="e">
            <v>#REF!</v>
          </cell>
          <cell r="E726" t="e">
            <v>#REF!</v>
          </cell>
        </row>
        <row r="727">
          <cell r="A727" t="e">
            <v>#REF!</v>
          </cell>
          <cell r="B727" t="e">
            <v>#REF!</v>
          </cell>
          <cell r="C727" t="e">
            <v>#REF!</v>
          </cell>
          <cell r="D727" t="e">
            <v>#REF!</v>
          </cell>
          <cell r="E727" t="e">
            <v>#REF!</v>
          </cell>
        </row>
        <row r="728">
          <cell r="A728" t="e">
            <v>#REF!</v>
          </cell>
          <cell r="B728" t="e">
            <v>#REF!</v>
          </cell>
          <cell r="C728" t="e">
            <v>#REF!</v>
          </cell>
          <cell r="D728" t="e">
            <v>#REF!</v>
          </cell>
          <cell r="E728" t="e">
            <v>#REF!</v>
          </cell>
        </row>
        <row r="729">
          <cell r="A729" t="e">
            <v>#REF!</v>
          </cell>
          <cell r="B729" t="e">
            <v>#REF!</v>
          </cell>
          <cell r="C729" t="e">
            <v>#REF!</v>
          </cell>
          <cell r="D729" t="e">
            <v>#REF!</v>
          </cell>
          <cell r="E729" t="e">
            <v>#REF!</v>
          </cell>
        </row>
        <row r="730">
          <cell r="A730" t="e">
            <v>#REF!</v>
          </cell>
          <cell r="B730" t="e">
            <v>#REF!</v>
          </cell>
          <cell r="C730" t="e">
            <v>#REF!</v>
          </cell>
          <cell r="D730" t="e">
            <v>#REF!</v>
          </cell>
          <cell r="E730" t="e">
            <v>#REF!</v>
          </cell>
        </row>
        <row r="731">
          <cell r="A731" t="e">
            <v>#REF!</v>
          </cell>
          <cell r="B731" t="e">
            <v>#REF!</v>
          </cell>
          <cell r="C731" t="e">
            <v>#REF!</v>
          </cell>
          <cell r="D731" t="e">
            <v>#REF!</v>
          </cell>
          <cell r="E731" t="e">
            <v>#REF!</v>
          </cell>
        </row>
        <row r="732">
          <cell r="A732" t="e">
            <v>#REF!</v>
          </cell>
          <cell r="B732" t="e">
            <v>#REF!</v>
          </cell>
          <cell r="C732" t="e">
            <v>#REF!</v>
          </cell>
          <cell r="D732" t="e">
            <v>#REF!</v>
          </cell>
          <cell r="E732" t="e">
            <v>#REF!</v>
          </cell>
        </row>
        <row r="733">
          <cell r="A733" t="e">
            <v>#REF!</v>
          </cell>
          <cell r="B733" t="e">
            <v>#REF!</v>
          </cell>
          <cell r="C733" t="e">
            <v>#REF!</v>
          </cell>
          <cell r="D733" t="e">
            <v>#REF!</v>
          </cell>
          <cell r="E733" t="e">
            <v>#REF!</v>
          </cell>
        </row>
        <row r="734">
          <cell r="A734" t="e">
            <v>#REF!</v>
          </cell>
          <cell r="B734" t="e">
            <v>#REF!</v>
          </cell>
          <cell r="C734" t="e">
            <v>#REF!</v>
          </cell>
          <cell r="D734" t="e">
            <v>#REF!</v>
          </cell>
          <cell r="E734" t="e">
            <v>#REF!</v>
          </cell>
        </row>
        <row r="735">
          <cell r="A735" t="e">
            <v>#REF!</v>
          </cell>
          <cell r="B735" t="e">
            <v>#REF!</v>
          </cell>
          <cell r="C735" t="e">
            <v>#REF!</v>
          </cell>
          <cell r="D735" t="e">
            <v>#REF!</v>
          </cell>
          <cell r="E735" t="e">
            <v>#REF!</v>
          </cell>
        </row>
        <row r="736">
          <cell r="A736" t="e">
            <v>#REF!</v>
          </cell>
          <cell r="B736" t="e">
            <v>#REF!</v>
          </cell>
          <cell r="C736" t="e">
            <v>#REF!</v>
          </cell>
          <cell r="D736" t="e">
            <v>#REF!</v>
          </cell>
          <cell r="E736" t="e">
            <v>#REF!</v>
          </cell>
        </row>
        <row r="737">
          <cell r="A737" t="e">
            <v>#REF!</v>
          </cell>
          <cell r="B737" t="e">
            <v>#REF!</v>
          </cell>
          <cell r="C737" t="e">
            <v>#REF!</v>
          </cell>
          <cell r="D737" t="e">
            <v>#REF!</v>
          </cell>
          <cell r="E737" t="e">
            <v>#REF!</v>
          </cell>
        </row>
        <row r="738">
          <cell r="A738" t="e">
            <v>#REF!</v>
          </cell>
          <cell r="B738" t="e">
            <v>#REF!</v>
          </cell>
          <cell r="C738" t="e">
            <v>#REF!</v>
          </cell>
          <cell r="D738" t="e">
            <v>#REF!</v>
          </cell>
          <cell r="E738" t="e">
            <v>#REF!</v>
          </cell>
        </row>
        <row r="739">
          <cell r="A739" t="e">
            <v>#REF!</v>
          </cell>
          <cell r="B739" t="e">
            <v>#REF!</v>
          </cell>
          <cell r="C739" t="e">
            <v>#REF!</v>
          </cell>
          <cell r="D739" t="e">
            <v>#REF!</v>
          </cell>
          <cell r="E739" t="e">
            <v>#REF!</v>
          </cell>
        </row>
        <row r="740">
          <cell r="A740" t="e">
            <v>#REF!</v>
          </cell>
          <cell r="B740" t="e">
            <v>#REF!</v>
          </cell>
          <cell r="C740" t="e">
            <v>#REF!</v>
          </cell>
          <cell r="D740" t="e">
            <v>#REF!</v>
          </cell>
          <cell r="E740" t="e">
            <v>#REF!</v>
          </cell>
        </row>
        <row r="741">
          <cell r="A741" t="e">
            <v>#REF!</v>
          </cell>
          <cell r="B741" t="e">
            <v>#REF!</v>
          </cell>
          <cell r="C741" t="e">
            <v>#REF!</v>
          </cell>
          <cell r="D741" t="e">
            <v>#REF!</v>
          </cell>
          <cell r="E741" t="e">
            <v>#REF!</v>
          </cell>
        </row>
        <row r="742">
          <cell r="A742" t="e">
            <v>#REF!</v>
          </cell>
          <cell r="B742" t="e">
            <v>#REF!</v>
          </cell>
          <cell r="C742" t="e">
            <v>#REF!</v>
          </cell>
          <cell r="D742" t="e">
            <v>#REF!</v>
          </cell>
          <cell r="E742" t="e">
            <v>#REF!</v>
          </cell>
        </row>
        <row r="743">
          <cell r="A743" t="e">
            <v>#REF!</v>
          </cell>
          <cell r="B743" t="e">
            <v>#REF!</v>
          </cell>
          <cell r="C743" t="e">
            <v>#REF!</v>
          </cell>
          <cell r="D743" t="e">
            <v>#REF!</v>
          </cell>
          <cell r="E743" t="e">
            <v>#REF!</v>
          </cell>
        </row>
        <row r="744">
          <cell r="A744" t="e">
            <v>#REF!</v>
          </cell>
          <cell r="B744" t="e">
            <v>#REF!</v>
          </cell>
          <cell r="C744" t="e">
            <v>#REF!</v>
          </cell>
          <cell r="D744" t="e">
            <v>#REF!</v>
          </cell>
          <cell r="E744" t="e">
            <v>#REF!</v>
          </cell>
        </row>
        <row r="745">
          <cell r="A745" t="e">
            <v>#REF!</v>
          </cell>
          <cell r="B745" t="e">
            <v>#REF!</v>
          </cell>
          <cell r="C745" t="e">
            <v>#REF!</v>
          </cell>
          <cell r="D745" t="e">
            <v>#REF!</v>
          </cell>
          <cell r="E745" t="e">
            <v>#REF!</v>
          </cell>
        </row>
        <row r="746">
          <cell r="A746" t="e">
            <v>#REF!</v>
          </cell>
          <cell r="B746" t="e">
            <v>#REF!</v>
          </cell>
          <cell r="C746" t="e">
            <v>#REF!</v>
          </cell>
          <cell r="D746" t="e">
            <v>#REF!</v>
          </cell>
          <cell r="E746" t="e">
            <v>#REF!</v>
          </cell>
        </row>
        <row r="747">
          <cell r="A747" t="e">
            <v>#REF!</v>
          </cell>
          <cell r="B747" t="e">
            <v>#REF!</v>
          </cell>
          <cell r="C747" t="e">
            <v>#REF!</v>
          </cell>
          <cell r="D747" t="e">
            <v>#REF!</v>
          </cell>
          <cell r="E747" t="e">
            <v>#REF!</v>
          </cell>
        </row>
        <row r="748">
          <cell r="A748" t="e">
            <v>#REF!</v>
          </cell>
          <cell r="B748" t="e">
            <v>#REF!</v>
          </cell>
          <cell r="C748" t="e">
            <v>#REF!</v>
          </cell>
          <cell r="D748" t="e">
            <v>#REF!</v>
          </cell>
          <cell r="E748" t="e">
            <v>#REF!</v>
          </cell>
        </row>
        <row r="749">
          <cell r="A749" t="e">
            <v>#REF!</v>
          </cell>
          <cell r="B749" t="e">
            <v>#REF!</v>
          </cell>
          <cell r="C749" t="e">
            <v>#REF!</v>
          </cell>
          <cell r="D749" t="e">
            <v>#REF!</v>
          </cell>
          <cell r="E749" t="e">
            <v>#REF!</v>
          </cell>
        </row>
        <row r="750">
          <cell r="A750" t="e">
            <v>#REF!</v>
          </cell>
          <cell r="B750" t="e">
            <v>#REF!</v>
          </cell>
          <cell r="C750" t="e">
            <v>#REF!</v>
          </cell>
          <cell r="D750" t="e">
            <v>#REF!</v>
          </cell>
          <cell r="E750" t="e">
            <v>#REF!</v>
          </cell>
        </row>
        <row r="751">
          <cell r="A751" t="e">
            <v>#REF!</v>
          </cell>
          <cell r="B751" t="e">
            <v>#REF!</v>
          </cell>
          <cell r="C751" t="e">
            <v>#REF!</v>
          </cell>
          <cell r="D751" t="e">
            <v>#REF!</v>
          </cell>
          <cell r="E751" t="e">
            <v>#REF!</v>
          </cell>
        </row>
        <row r="752">
          <cell r="A752" t="e">
            <v>#REF!</v>
          </cell>
          <cell r="B752" t="e">
            <v>#REF!</v>
          </cell>
          <cell r="C752" t="e">
            <v>#REF!</v>
          </cell>
          <cell r="D752" t="e">
            <v>#REF!</v>
          </cell>
          <cell r="E752" t="e">
            <v>#REF!</v>
          </cell>
        </row>
        <row r="753">
          <cell r="A753" t="e">
            <v>#REF!</v>
          </cell>
          <cell r="B753" t="e">
            <v>#REF!</v>
          </cell>
          <cell r="C753" t="e">
            <v>#REF!</v>
          </cell>
          <cell r="D753" t="e">
            <v>#REF!</v>
          </cell>
          <cell r="E753" t="e">
            <v>#REF!</v>
          </cell>
        </row>
        <row r="754">
          <cell r="A754" t="e">
            <v>#REF!</v>
          </cell>
          <cell r="B754" t="e">
            <v>#REF!</v>
          </cell>
          <cell r="C754" t="e">
            <v>#REF!</v>
          </cell>
          <cell r="D754" t="e">
            <v>#REF!</v>
          </cell>
          <cell r="E754" t="e">
            <v>#REF!</v>
          </cell>
        </row>
        <row r="755">
          <cell r="A755" t="e">
            <v>#REF!</v>
          </cell>
          <cell r="B755" t="e">
            <v>#REF!</v>
          </cell>
          <cell r="C755" t="e">
            <v>#REF!</v>
          </cell>
          <cell r="D755" t="e">
            <v>#REF!</v>
          </cell>
          <cell r="E755" t="e">
            <v>#REF!</v>
          </cell>
        </row>
        <row r="756">
          <cell r="A756" t="e">
            <v>#REF!</v>
          </cell>
          <cell r="B756" t="e">
            <v>#REF!</v>
          </cell>
          <cell r="C756" t="e">
            <v>#REF!</v>
          </cell>
          <cell r="D756" t="e">
            <v>#REF!</v>
          </cell>
          <cell r="E756" t="e">
            <v>#REF!</v>
          </cell>
        </row>
        <row r="757">
          <cell r="A757" t="e">
            <v>#REF!</v>
          </cell>
          <cell r="B757" t="e">
            <v>#REF!</v>
          </cell>
          <cell r="C757" t="e">
            <v>#REF!</v>
          </cell>
          <cell r="D757" t="e">
            <v>#REF!</v>
          </cell>
          <cell r="E757" t="e">
            <v>#REF!</v>
          </cell>
        </row>
        <row r="758">
          <cell r="A758" t="e">
            <v>#REF!</v>
          </cell>
          <cell r="B758" t="e">
            <v>#REF!</v>
          </cell>
          <cell r="C758" t="e">
            <v>#REF!</v>
          </cell>
          <cell r="D758" t="e">
            <v>#REF!</v>
          </cell>
          <cell r="E758" t="e">
            <v>#REF!</v>
          </cell>
        </row>
        <row r="759">
          <cell r="A759" t="e">
            <v>#REF!</v>
          </cell>
          <cell r="B759" t="e">
            <v>#REF!</v>
          </cell>
          <cell r="C759" t="e">
            <v>#REF!</v>
          </cell>
          <cell r="D759" t="e">
            <v>#REF!</v>
          </cell>
          <cell r="E759" t="e">
            <v>#REF!</v>
          </cell>
        </row>
        <row r="760">
          <cell r="A760" t="e">
            <v>#REF!</v>
          </cell>
          <cell r="B760" t="e">
            <v>#REF!</v>
          </cell>
          <cell r="C760" t="e">
            <v>#REF!</v>
          </cell>
          <cell r="D760" t="e">
            <v>#REF!</v>
          </cell>
          <cell r="E760" t="e">
            <v>#REF!</v>
          </cell>
        </row>
        <row r="761">
          <cell r="A761" t="e">
            <v>#REF!</v>
          </cell>
          <cell r="B761" t="e">
            <v>#REF!</v>
          </cell>
          <cell r="C761" t="e">
            <v>#REF!</v>
          </cell>
          <cell r="D761" t="e">
            <v>#REF!</v>
          </cell>
          <cell r="E761" t="e">
            <v>#REF!</v>
          </cell>
        </row>
        <row r="762">
          <cell r="A762" t="e">
            <v>#REF!</v>
          </cell>
          <cell r="B762" t="e">
            <v>#REF!</v>
          </cell>
          <cell r="C762" t="e">
            <v>#REF!</v>
          </cell>
          <cell r="D762" t="e">
            <v>#REF!</v>
          </cell>
          <cell r="E762" t="e">
            <v>#REF!</v>
          </cell>
        </row>
        <row r="763">
          <cell r="A763" t="e">
            <v>#REF!</v>
          </cell>
          <cell r="B763" t="e">
            <v>#REF!</v>
          </cell>
          <cell r="C763" t="e">
            <v>#REF!</v>
          </cell>
          <cell r="D763" t="e">
            <v>#REF!</v>
          </cell>
          <cell r="E763" t="e">
            <v>#REF!</v>
          </cell>
        </row>
        <row r="764">
          <cell r="A764" t="e">
            <v>#REF!</v>
          </cell>
          <cell r="B764" t="e">
            <v>#REF!</v>
          </cell>
          <cell r="C764" t="e">
            <v>#REF!</v>
          </cell>
          <cell r="D764" t="e">
            <v>#REF!</v>
          </cell>
          <cell r="E764" t="e">
            <v>#REF!</v>
          </cell>
        </row>
        <row r="765">
          <cell r="A765" t="e">
            <v>#REF!</v>
          </cell>
          <cell r="B765" t="e">
            <v>#REF!</v>
          </cell>
          <cell r="C765" t="e">
            <v>#REF!</v>
          </cell>
          <cell r="D765" t="e">
            <v>#REF!</v>
          </cell>
          <cell r="E765" t="e">
            <v>#REF!</v>
          </cell>
        </row>
        <row r="766">
          <cell r="A766" t="e">
            <v>#REF!</v>
          </cell>
          <cell r="B766" t="e">
            <v>#REF!</v>
          </cell>
          <cell r="C766" t="e">
            <v>#REF!</v>
          </cell>
          <cell r="D766" t="e">
            <v>#REF!</v>
          </cell>
          <cell r="E766" t="e">
            <v>#REF!</v>
          </cell>
        </row>
        <row r="767">
          <cell r="A767" t="e">
            <v>#REF!</v>
          </cell>
          <cell r="B767" t="e">
            <v>#REF!</v>
          </cell>
          <cell r="C767" t="e">
            <v>#REF!</v>
          </cell>
          <cell r="D767" t="e">
            <v>#REF!</v>
          </cell>
          <cell r="E767" t="e">
            <v>#REF!</v>
          </cell>
        </row>
        <row r="768">
          <cell r="A768" t="e">
            <v>#REF!</v>
          </cell>
          <cell r="B768" t="e">
            <v>#REF!</v>
          </cell>
          <cell r="C768" t="e">
            <v>#REF!</v>
          </cell>
          <cell r="D768" t="e">
            <v>#REF!</v>
          </cell>
          <cell r="E768" t="e">
            <v>#REF!</v>
          </cell>
        </row>
        <row r="769">
          <cell r="A769" t="e">
            <v>#REF!</v>
          </cell>
          <cell r="B769" t="e">
            <v>#REF!</v>
          </cell>
          <cell r="C769" t="e">
            <v>#REF!</v>
          </cell>
          <cell r="D769" t="e">
            <v>#REF!</v>
          </cell>
          <cell r="E769" t="e">
            <v>#REF!</v>
          </cell>
        </row>
        <row r="770">
          <cell r="A770" t="e">
            <v>#REF!</v>
          </cell>
          <cell r="B770" t="e">
            <v>#REF!</v>
          </cell>
          <cell r="C770" t="e">
            <v>#REF!</v>
          </cell>
          <cell r="D770" t="e">
            <v>#REF!</v>
          </cell>
          <cell r="E770" t="e">
            <v>#REF!</v>
          </cell>
        </row>
        <row r="771">
          <cell r="A771" t="e">
            <v>#REF!</v>
          </cell>
          <cell r="B771" t="e">
            <v>#REF!</v>
          </cell>
          <cell r="C771" t="e">
            <v>#REF!</v>
          </cell>
          <cell r="D771" t="e">
            <v>#REF!</v>
          </cell>
          <cell r="E771" t="e">
            <v>#REF!</v>
          </cell>
        </row>
        <row r="772">
          <cell r="A772" t="e">
            <v>#REF!</v>
          </cell>
          <cell r="B772" t="e">
            <v>#REF!</v>
          </cell>
          <cell r="C772" t="e">
            <v>#REF!</v>
          </cell>
          <cell r="D772" t="e">
            <v>#REF!</v>
          </cell>
          <cell r="E772" t="e">
            <v>#REF!</v>
          </cell>
        </row>
        <row r="773">
          <cell r="A773" t="e">
            <v>#REF!</v>
          </cell>
          <cell r="B773" t="e">
            <v>#REF!</v>
          </cell>
          <cell r="C773" t="e">
            <v>#REF!</v>
          </cell>
          <cell r="D773" t="e">
            <v>#REF!</v>
          </cell>
          <cell r="E773" t="e">
            <v>#REF!</v>
          </cell>
        </row>
        <row r="774">
          <cell r="A774" t="e">
            <v>#REF!</v>
          </cell>
          <cell r="B774" t="e">
            <v>#REF!</v>
          </cell>
          <cell r="C774" t="e">
            <v>#REF!</v>
          </cell>
          <cell r="D774" t="e">
            <v>#REF!</v>
          </cell>
          <cell r="E774" t="e">
            <v>#REF!</v>
          </cell>
        </row>
        <row r="775">
          <cell r="A775" t="e">
            <v>#REF!</v>
          </cell>
          <cell r="B775" t="e">
            <v>#REF!</v>
          </cell>
          <cell r="C775" t="e">
            <v>#REF!</v>
          </cell>
          <cell r="D775" t="e">
            <v>#REF!</v>
          </cell>
          <cell r="E775" t="e">
            <v>#REF!</v>
          </cell>
        </row>
        <row r="776">
          <cell r="A776" t="e">
            <v>#REF!</v>
          </cell>
          <cell r="B776" t="e">
            <v>#REF!</v>
          </cell>
          <cell r="C776" t="e">
            <v>#REF!</v>
          </cell>
          <cell r="D776" t="e">
            <v>#REF!</v>
          </cell>
          <cell r="E776" t="e">
            <v>#REF!</v>
          </cell>
        </row>
        <row r="777">
          <cell r="A777" t="e">
            <v>#REF!</v>
          </cell>
          <cell r="B777" t="e">
            <v>#REF!</v>
          </cell>
          <cell r="C777" t="e">
            <v>#REF!</v>
          </cell>
          <cell r="D777" t="e">
            <v>#REF!</v>
          </cell>
          <cell r="E777" t="e">
            <v>#REF!</v>
          </cell>
        </row>
        <row r="778">
          <cell r="A778" t="e">
            <v>#REF!</v>
          </cell>
          <cell r="B778" t="e">
            <v>#REF!</v>
          </cell>
          <cell r="C778" t="e">
            <v>#REF!</v>
          </cell>
          <cell r="D778" t="e">
            <v>#REF!</v>
          </cell>
          <cell r="E778" t="e">
            <v>#REF!</v>
          </cell>
        </row>
        <row r="779">
          <cell r="A779" t="e">
            <v>#REF!</v>
          </cell>
          <cell r="B779" t="e">
            <v>#REF!</v>
          </cell>
          <cell r="C779" t="e">
            <v>#REF!</v>
          </cell>
          <cell r="D779" t="e">
            <v>#REF!</v>
          </cell>
          <cell r="E779" t="e">
            <v>#REF!</v>
          </cell>
        </row>
        <row r="780">
          <cell r="A780" t="e">
            <v>#REF!</v>
          </cell>
          <cell r="B780" t="e">
            <v>#REF!</v>
          </cell>
          <cell r="C780" t="e">
            <v>#REF!</v>
          </cell>
          <cell r="D780" t="e">
            <v>#REF!</v>
          </cell>
          <cell r="E780" t="e">
            <v>#REF!</v>
          </cell>
        </row>
        <row r="781">
          <cell r="A781" t="e">
            <v>#REF!</v>
          </cell>
          <cell r="B781" t="e">
            <v>#REF!</v>
          </cell>
          <cell r="C781" t="e">
            <v>#REF!</v>
          </cell>
          <cell r="D781" t="e">
            <v>#REF!</v>
          </cell>
          <cell r="E781" t="e">
            <v>#REF!</v>
          </cell>
        </row>
        <row r="782">
          <cell r="A782" t="e">
            <v>#REF!</v>
          </cell>
          <cell r="B782" t="e">
            <v>#REF!</v>
          </cell>
          <cell r="C782" t="e">
            <v>#REF!</v>
          </cell>
          <cell r="D782" t="e">
            <v>#REF!</v>
          </cell>
          <cell r="E782" t="e">
            <v>#REF!</v>
          </cell>
        </row>
        <row r="783">
          <cell r="A783" t="e">
            <v>#REF!</v>
          </cell>
          <cell r="B783" t="e">
            <v>#REF!</v>
          </cell>
          <cell r="C783" t="e">
            <v>#REF!</v>
          </cell>
          <cell r="D783" t="e">
            <v>#REF!</v>
          </cell>
          <cell r="E783" t="e">
            <v>#REF!</v>
          </cell>
        </row>
        <row r="784">
          <cell r="A784" t="e">
            <v>#REF!</v>
          </cell>
          <cell r="B784" t="e">
            <v>#REF!</v>
          </cell>
          <cell r="C784" t="e">
            <v>#REF!</v>
          </cell>
          <cell r="D784" t="e">
            <v>#REF!</v>
          </cell>
          <cell r="E784" t="e">
            <v>#REF!</v>
          </cell>
        </row>
        <row r="785">
          <cell r="A785" t="e">
            <v>#REF!</v>
          </cell>
          <cell r="B785" t="e">
            <v>#REF!</v>
          </cell>
          <cell r="C785" t="e">
            <v>#REF!</v>
          </cell>
          <cell r="D785" t="e">
            <v>#REF!</v>
          </cell>
          <cell r="E785" t="e">
            <v>#REF!</v>
          </cell>
        </row>
        <row r="786">
          <cell r="A786" t="e">
            <v>#REF!</v>
          </cell>
          <cell r="B786" t="e">
            <v>#REF!</v>
          </cell>
          <cell r="C786" t="e">
            <v>#REF!</v>
          </cell>
          <cell r="D786" t="e">
            <v>#REF!</v>
          </cell>
          <cell r="E786" t="e">
            <v>#REF!</v>
          </cell>
        </row>
        <row r="787">
          <cell r="A787" t="e">
            <v>#REF!</v>
          </cell>
          <cell r="B787" t="e">
            <v>#REF!</v>
          </cell>
          <cell r="C787" t="e">
            <v>#REF!</v>
          </cell>
          <cell r="D787" t="e">
            <v>#REF!</v>
          </cell>
          <cell r="E787" t="e">
            <v>#REF!</v>
          </cell>
        </row>
        <row r="788">
          <cell r="A788" t="e">
            <v>#REF!</v>
          </cell>
          <cell r="B788" t="e">
            <v>#REF!</v>
          </cell>
          <cell r="C788" t="e">
            <v>#REF!</v>
          </cell>
          <cell r="D788" t="e">
            <v>#REF!</v>
          </cell>
          <cell r="E788" t="e">
            <v>#REF!</v>
          </cell>
        </row>
        <row r="789">
          <cell r="A789" t="e">
            <v>#REF!</v>
          </cell>
          <cell r="B789" t="e">
            <v>#REF!</v>
          </cell>
          <cell r="C789" t="e">
            <v>#REF!</v>
          </cell>
          <cell r="D789" t="e">
            <v>#REF!</v>
          </cell>
          <cell r="E789" t="e">
            <v>#REF!</v>
          </cell>
        </row>
        <row r="790">
          <cell r="A790" t="e">
            <v>#REF!</v>
          </cell>
          <cell r="B790" t="e">
            <v>#REF!</v>
          </cell>
          <cell r="C790" t="e">
            <v>#REF!</v>
          </cell>
          <cell r="D790" t="e">
            <v>#REF!</v>
          </cell>
          <cell r="E790" t="e">
            <v>#REF!</v>
          </cell>
        </row>
        <row r="791">
          <cell r="A791" t="e">
            <v>#REF!</v>
          </cell>
          <cell r="B791" t="e">
            <v>#REF!</v>
          </cell>
          <cell r="C791" t="e">
            <v>#REF!</v>
          </cell>
          <cell r="D791" t="e">
            <v>#REF!</v>
          </cell>
          <cell r="E791" t="e">
            <v>#REF!</v>
          </cell>
        </row>
        <row r="792">
          <cell r="A792" t="e">
            <v>#REF!</v>
          </cell>
          <cell r="B792" t="e">
            <v>#REF!</v>
          </cell>
          <cell r="C792" t="e">
            <v>#REF!</v>
          </cell>
          <cell r="D792" t="e">
            <v>#REF!</v>
          </cell>
          <cell r="E792" t="e">
            <v>#REF!</v>
          </cell>
        </row>
        <row r="793">
          <cell r="A793" t="e">
            <v>#REF!</v>
          </cell>
          <cell r="B793" t="e">
            <v>#REF!</v>
          </cell>
          <cell r="C793" t="e">
            <v>#REF!</v>
          </cell>
          <cell r="D793" t="e">
            <v>#REF!</v>
          </cell>
          <cell r="E793" t="e">
            <v>#REF!</v>
          </cell>
        </row>
        <row r="794">
          <cell r="A794" t="e">
            <v>#REF!</v>
          </cell>
          <cell r="B794" t="e">
            <v>#REF!</v>
          </cell>
          <cell r="C794" t="e">
            <v>#REF!</v>
          </cell>
          <cell r="D794" t="e">
            <v>#REF!</v>
          </cell>
          <cell r="E794" t="e">
            <v>#REF!</v>
          </cell>
        </row>
        <row r="795">
          <cell r="A795" t="e">
            <v>#REF!</v>
          </cell>
          <cell r="B795" t="e">
            <v>#REF!</v>
          </cell>
          <cell r="C795" t="e">
            <v>#REF!</v>
          </cell>
          <cell r="D795" t="e">
            <v>#REF!</v>
          </cell>
          <cell r="E795" t="e">
            <v>#REF!</v>
          </cell>
        </row>
        <row r="796">
          <cell r="A796" t="e">
            <v>#REF!</v>
          </cell>
          <cell r="B796" t="e">
            <v>#REF!</v>
          </cell>
          <cell r="C796" t="e">
            <v>#REF!</v>
          </cell>
          <cell r="D796" t="e">
            <v>#REF!</v>
          </cell>
          <cell r="E796" t="e">
            <v>#REF!</v>
          </cell>
        </row>
        <row r="797">
          <cell r="A797" t="e">
            <v>#REF!</v>
          </cell>
          <cell r="B797" t="e">
            <v>#REF!</v>
          </cell>
          <cell r="C797" t="e">
            <v>#REF!</v>
          </cell>
          <cell r="D797" t="e">
            <v>#REF!</v>
          </cell>
          <cell r="E797" t="e">
            <v>#REF!</v>
          </cell>
        </row>
        <row r="798">
          <cell r="A798" t="e">
            <v>#REF!</v>
          </cell>
          <cell r="B798" t="e">
            <v>#REF!</v>
          </cell>
          <cell r="C798" t="e">
            <v>#REF!</v>
          </cell>
          <cell r="D798" t="e">
            <v>#REF!</v>
          </cell>
          <cell r="E798" t="e">
            <v>#REF!</v>
          </cell>
        </row>
        <row r="799">
          <cell r="A799" t="e">
            <v>#REF!</v>
          </cell>
          <cell r="B799" t="e">
            <v>#REF!</v>
          </cell>
          <cell r="C799" t="e">
            <v>#REF!</v>
          </cell>
          <cell r="D799" t="e">
            <v>#REF!</v>
          </cell>
          <cell r="E799" t="e">
            <v>#REF!</v>
          </cell>
        </row>
        <row r="800">
          <cell r="A800" t="e">
            <v>#REF!</v>
          </cell>
          <cell r="B800" t="e">
            <v>#REF!</v>
          </cell>
          <cell r="C800" t="e">
            <v>#REF!</v>
          </cell>
          <cell r="D800" t="e">
            <v>#REF!</v>
          </cell>
          <cell r="E800" t="e">
            <v>#REF!</v>
          </cell>
        </row>
        <row r="801">
          <cell r="A801" t="e">
            <v>#REF!</v>
          </cell>
          <cell r="B801" t="e">
            <v>#REF!</v>
          </cell>
          <cell r="C801" t="e">
            <v>#REF!</v>
          </cell>
          <cell r="D801" t="e">
            <v>#REF!</v>
          </cell>
          <cell r="E801" t="e">
            <v>#REF!</v>
          </cell>
        </row>
        <row r="802">
          <cell r="A802" t="e">
            <v>#REF!</v>
          </cell>
          <cell r="B802" t="e">
            <v>#REF!</v>
          </cell>
          <cell r="C802" t="e">
            <v>#REF!</v>
          </cell>
          <cell r="D802" t="e">
            <v>#REF!</v>
          </cell>
          <cell r="E802" t="e">
            <v>#REF!</v>
          </cell>
        </row>
        <row r="803">
          <cell r="A803" t="e">
            <v>#REF!</v>
          </cell>
          <cell r="B803" t="e">
            <v>#REF!</v>
          </cell>
          <cell r="C803" t="e">
            <v>#REF!</v>
          </cell>
          <cell r="D803" t="e">
            <v>#REF!</v>
          </cell>
          <cell r="E803" t="e">
            <v>#REF!</v>
          </cell>
        </row>
        <row r="804">
          <cell r="A804" t="e">
            <v>#REF!</v>
          </cell>
          <cell r="B804" t="e">
            <v>#REF!</v>
          </cell>
          <cell r="C804" t="e">
            <v>#REF!</v>
          </cell>
          <cell r="D804" t="e">
            <v>#REF!</v>
          </cell>
          <cell r="E804" t="e">
            <v>#REF!</v>
          </cell>
        </row>
        <row r="805">
          <cell r="A805" t="e">
            <v>#REF!</v>
          </cell>
          <cell r="B805" t="e">
            <v>#REF!</v>
          </cell>
          <cell r="C805" t="e">
            <v>#REF!</v>
          </cell>
          <cell r="D805" t="e">
            <v>#REF!</v>
          </cell>
          <cell r="E805" t="e">
            <v>#REF!</v>
          </cell>
        </row>
        <row r="806">
          <cell r="A806" t="e">
            <v>#REF!</v>
          </cell>
          <cell r="B806" t="e">
            <v>#REF!</v>
          </cell>
          <cell r="C806" t="e">
            <v>#REF!</v>
          </cell>
          <cell r="D806" t="e">
            <v>#REF!</v>
          </cell>
          <cell r="E806" t="e">
            <v>#REF!</v>
          </cell>
        </row>
        <row r="807">
          <cell r="A807" t="e">
            <v>#REF!</v>
          </cell>
          <cell r="B807" t="e">
            <v>#REF!</v>
          </cell>
          <cell r="C807" t="e">
            <v>#REF!</v>
          </cell>
          <cell r="D807" t="e">
            <v>#REF!</v>
          </cell>
          <cell r="E807" t="e">
            <v>#REF!</v>
          </cell>
        </row>
        <row r="808">
          <cell r="A808" t="e">
            <v>#REF!</v>
          </cell>
          <cell r="B808" t="e">
            <v>#REF!</v>
          </cell>
          <cell r="C808" t="e">
            <v>#REF!</v>
          </cell>
          <cell r="D808" t="e">
            <v>#REF!</v>
          </cell>
          <cell r="E808" t="e">
            <v>#REF!</v>
          </cell>
        </row>
        <row r="809">
          <cell r="A809" t="e">
            <v>#REF!</v>
          </cell>
          <cell r="B809" t="e">
            <v>#REF!</v>
          </cell>
          <cell r="C809" t="e">
            <v>#REF!</v>
          </cell>
          <cell r="D809" t="e">
            <v>#REF!</v>
          </cell>
          <cell r="E809" t="e">
            <v>#REF!</v>
          </cell>
        </row>
        <row r="810">
          <cell r="A810" t="e">
            <v>#REF!</v>
          </cell>
          <cell r="B810" t="e">
            <v>#REF!</v>
          </cell>
          <cell r="C810" t="e">
            <v>#REF!</v>
          </cell>
          <cell r="D810" t="e">
            <v>#REF!</v>
          </cell>
          <cell r="E810" t="e">
            <v>#REF!</v>
          </cell>
        </row>
        <row r="811">
          <cell r="A811" t="e">
            <v>#REF!</v>
          </cell>
          <cell r="B811" t="e">
            <v>#REF!</v>
          </cell>
          <cell r="C811" t="e">
            <v>#REF!</v>
          </cell>
          <cell r="D811" t="e">
            <v>#REF!</v>
          </cell>
          <cell r="E811" t="e">
            <v>#REF!</v>
          </cell>
        </row>
        <row r="812">
          <cell r="A812" t="e">
            <v>#REF!</v>
          </cell>
          <cell r="B812" t="e">
            <v>#REF!</v>
          </cell>
          <cell r="C812" t="e">
            <v>#REF!</v>
          </cell>
          <cell r="D812" t="e">
            <v>#REF!</v>
          </cell>
          <cell r="E812" t="e">
            <v>#REF!</v>
          </cell>
        </row>
        <row r="813">
          <cell r="A813" t="e">
            <v>#REF!</v>
          </cell>
          <cell r="B813" t="e">
            <v>#REF!</v>
          </cell>
          <cell r="C813" t="e">
            <v>#REF!</v>
          </cell>
          <cell r="D813" t="e">
            <v>#REF!</v>
          </cell>
          <cell r="E813" t="e">
            <v>#REF!</v>
          </cell>
        </row>
        <row r="814">
          <cell r="A814" t="e">
            <v>#REF!</v>
          </cell>
          <cell r="B814" t="e">
            <v>#REF!</v>
          </cell>
          <cell r="C814" t="e">
            <v>#REF!</v>
          </cell>
          <cell r="D814" t="e">
            <v>#REF!</v>
          </cell>
          <cell r="E814" t="e">
            <v>#REF!</v>
          </cell>
        </row>
        <row r="815">
          <cell r="A815" t="e">
            <v>#REF!</v>
          </cell>
          <cell r="B815" t="e">
            <v>#REF!</v>
          </cell>
          <cell r="C815" t="e">
            <v>#REF!</v>
          </cell>
          <cell r="D815" t="e">
            <v>#REF!</v>
          </cell>
          <cell r="E815" t="e">
            <v>#REF!</v>
          </cell>
        </row>
        <row r="816">
          <cell r="A816" t="e">
            <v>#REF!</v>
          </cell>
          <cell r="B816" t="e">
            <v>#REF!</v>
          </cell>
          <cell r="C816" t="e">
            <v>#REF!</v>
          </cell>
          <cell r="D816" t="e">
            <v>#REF!</v>
          </cell>
          <cell r="E816" t="e">
            <v>#REF!</v>
          </cell>
        </row>
        <row r="817">
          <cell r="A817" t="e">
            <v>#REF!</v>
          </cell>
          <cell r="B817" t="e">
            <v>#REF!</v>
          </cell>
          <cell r="C817" t="e">
            <v>#REF!</v>
          </cell>
          <cell r="D817" t="e">
            <v>#REF!</v>
          </cell>
          <cell r="E817" t="e">
            <v>#REF!</v>
          </cell>
        </row>
        <row r="818">
          <cell r="A818" t="e">
            <v>#REF!</v>
          </cell>
          <cell r="B818" t="e">
            <v>#REF!</v>
          </cell>
          <cell r="C818" t="e">
            <v>#REF!</v>
          </cell>
          <cell r="D818" t="e">
            <v>#REF!</v>
          </cell>
          <cell r="E818" t="e">
            <v>#REF!</v>
          </cell>
        </row>
        <row r="819">
          <cell r="A819" t="e">
            <v>#REF!</v>
          </cell>
          <cell r="B819" t="e">
            <v>#REF!</v>
          </cell>
          <cell r="C819" t="e">
            <v>#REF!</v>
          </cell>
          <cell r="D819" t="e">
            <v>#REF!</v>
          </cell>
          <cell r="E819" t="e">
            <v>#REF!</v>
          </cell>
        </row>
        <row r="820">
          <cell r="A820" t="e">
            <v>#REF!</v>
          </cell>
          <cell r="B820" t="e">
            <v>#REF!</v>
          </cell>
          <cell r="C820" t="e">
            <v>#REF!</v>
          </cell>
          <cell r="D820" t="e">
            <v>#REF!</v>
          </cell>
          <cell r="E820" t="e">
            <v>#REF!</v>
          </cell>
        </row>
        <row r="821">
          <cell r="A821" t="e">
            <v>#REF!</v>
          </cell>
          <cell r="B821" t="e">
            <v>#REF!</v>
          </cell>
          <cell r="C821" t="e">
            <v>#REF!</v>
          </cell>
          <cell r="D821" t="e">
            <v>#REF!</v>
          </cell>
          <cell r="E821" t="e">
            <v>#REF!</v>
          </cell>
        </row>
        <row r="822">
          <cell r="A822" t="e">
            <v>#REF!</v>
          </cell>
          <cell r="B822" t="e">
            <v>#REF!</v>
          </cell>
          <cell r="C822" t="e">
            <v>#REF!</v>
          </cell>
          <cell r="D822" t="e">
            <v>#REF!</v>
          </cell>
          <cell r="E822" t="e">
            <v>#REF!</v>
          </cell>
        </row>
        <row r="823">
          <cell r="A823" t="e">
            <v>#REF!</v>
          </cell>
          <cell r="B823" t="e">
            <v>#REF!</v>
          </cell>
          <cell r="C823" t="e">
            <v>#REF!</v>
          </cell>
          <cell r="D823" t="e">
            <v>#REF!</v>
          </cell>
          <cell r="E823" t="e">
            <v>#REF!</v>
          </cell>
        </row>
        <row r="824">
          <cell r="A824" t="e">
            <v>#REF!</v>
          </cell>
          <cell r="B824" t="e">
            <v>#REF!</v>
          </cell>
          <cell r="C824" t="e">
            <v>#REF!</v>
          </cell>
          <cell r="D824" t="e">
            <v>#REF!</v>
          </cell>
          <cell r="E824" t="e">
            <v>#REF!</v>
          </cell>
        </row>
        <row r="825">
          <cell r="A825" t="e">
            <v>#REF!</v>
          </cell>
          <cell r="B825" t="e">
            <v>#REF!</v>
          </cell>
          <cell r="C825" t="e">
            <v>#REF!</v>
          </cell>
          <cell r="D825" t="e">
            <v>#REF!</v>
          </cell>
          <cell r="E825" t="e">
            <v>#REF!</v>
          </cell>
        </row>
        <row r="826">
          <cell r="A826" t="e">
            <v>#REF!</v>
          </cell>
          <cell r="B826" t="e">
            <v>#REF!</v>
          </cell>
          <cell r="C826" t="e">
            <v>#REF!</v>
          </cell>
          <cell r="D826" t="e">
            <v>#REF!</v>
          </cell>
          <cell r="E826" t="e">
            <v>#REF!</v>
          </cell>
        </row>
        <row r="827">
          <cell r="A827" t="e">
            <v>#REF!</v>
          </cell>
          <cell r="B827" t="e">
            <v>#REF!</v>
          </cell>
          <cell r="C827" t="e">
            <v>#REF!</v>
          </cell>
          <cell r="D827" t="e">
            <v>#REF!</v>
          </cell>
          <cell r="E827" t="e">
            <v>#REF!</v>
          </cell>
        </row>
        <row r="828">
          <cell r="A828" t="e">
            <v>#REF!</v>
          </cell>
          <cell r="B828" t="e">
            <v>#REF!</v>
          </cell>
          <cell r="C828" t="e">
            <v>#REF!</v>
          </cell>
          <cell r="D828" t="e">
            <v>#REF!</v>
          </cell>
          <cell r="E828" t="e">
            <v>#REF!</v>
          </cell>
        </row>
        <row r="829">
          <cell r="A829" t="e">
            <v>#REF!</v>
          </cell>
          <cell r="B829" t="e">
            <v>#REF!</v>
          </cell>
          <cell r="C829" t="e">
            <v>#REF!</v>
          </cell>
          <cell r="D829" t="e">
            <v>#REF!</v>
          </cell>
          <cell r="E829" t="e">
            <v>#REF!</v>
          </cell>
        </row>
        <row r="830">
          <cell r="A830" t="e">
            <v>#REF!</v>
          </cell>
          <cell r="B830" t="e">
            <v>#REF!</v>
          </cell>
          <cell r="C830" t="e">
            <v>#REF!</v>
          </cell>
          <cell r="D830" t="e">
            <v>#REF!</v>
          </cell>
          <cell r="E830" t="e">
            <v>#REF!</v>
          </cell>
        </row>
        <row r="831">
          <cell r="A831" t="e">
            <v>#REF!</v>
          </cell>
          <cell r="B831" t="e">
            <v>#REF!</v>
          </cell>
          <cell r="C831" t="e">
            <v>#REF!</v>
          </cell>
          <cell r="D831" t="e">
            <v>#REF!</v>
          </cell>
          <cell r="E831" t="e">
            <v>#REF!</v>
          </cell>
        </row>
        <row r="832">
          <cell r="A832" t="e">
            <v>#REF!</v>
          </cell>
          <cell r="B832" t="e">
            <v>#REF!</v>
          </cell>
          <cell r="C832" t="e">
            <v>#REF!</v>
          </cell>
          <cell r="D832" t="e">
            <v>#REF!</v>
          </cell>
          <cell r="E832" t="e">
            <v>#REF!</v>
          </cell>
        </row>
        <row r="833">
          <cell r="A833" t="e">
            <v>#REF!</v>
          </cell>
          <cell r="B833" t="e">
            <v>#REF!</v>
          </cell>
          <cell r="C833" t="e">
            <v>#REF!</v>
          </cell>
          <cell r="D833" t="e">
            <v>#REF!</v>
          </cell>
          <cell r="E833" t="e">
            <v>#REF!</v>
          </cell>
        </row>
        <row r="834">
          <cell r="A834" t="e">
            <v>#REF!</v>
          </cell>
          <cell r="B834" t="e">
            <v>#REF!</v>
          </cell>
          <cell r="C834" t="e">
            <v>#REF!</v>
          </cell>
          <cell r="D834" t="e">
            <v>#REF!</v>
          </cell>
          <cell r="E834" t="e">
            <v>#REF!</v>
          </cell>
        </row>
        <row r="835">
          <cell r="A835" t="e">
            <v>#REF!</v>
          </cell>
          <cell r="B835" t="e">
            <v>#REF!</v>
          </cell>
          <cell r="C835" t="e">
            <v>#REF!</v>
          </cell>
          <cell r="D835" t="e">
            <v>#REF!</v>
          </cell>
          <cell r="E835" t="e">
            <v>#REF!</v>
          </cell>
        </row>
        <row r="836">
          <cell r="A836" t="e">
            <v>#REF!</v>
          </cell>
          <cell r="B836" t="e">
            <v>#REF!</v>
          </cell>
          <cell r="C836" t="e">
            <v>#REF!</v>
          </cell>
          <cell r="D836" t="e">
            <v>#REF!</v>
          </cell>
          <cell r="E836" t="e">
            <v>#REF!</v>
          </cell>
        </row>
        <row r="837">
          <cell r="A837" t="e">
            <v>#REF!</v>
          </cell>
          <cell r="B837" t="e">
            <v>#REF!</v>
          </cell>
          <cell r="C837" t="e">
            <v>#REF!</v>
          </cell>
          <cell r="D837" t="e">
            <v>#REF!</v>
          </cell>
          <cell r="E837" t="e">
            <v>#REF!</v>
          </cell>
        </row>
        <row r="838">
          <cell r="A838" t="e">
            <v>#REF!</v>
          </cell>
          <cell r="B838" t="e">
            <v>#REF!</v>
          </cell>
          <cell r="C838" t="e">
            <v>#REF!</v>
          </cell>
          <cell r="D838" t="e">
            <v>#REF!</v>
          </cell>
          <cell r="E838" t="e">
            <v>#REF!</v>
          </cell>
        </row>
        <row r="839">
          <cell r="A839" t="e">
            <v>#REF!</v>
          </cell>
          <cell r="B839" t="e">
            <v>#REF!</v>
          </cell>
          <cell r="C839" t="e">
            <v>#REF!</v>
          </cell>
          <cell r="D839" t="e">
            <v>#REF!</v>
          </cell>
          <cell r="E839" t="e">
            <v>#REF!</v>
          </cell>
        </row>
        <row r="840">
          <cell r="A840" t="e">
            <v>#REF!</v>
          </cell>
          <cell r="B840" t="e">
            <v>#REF!</v>
          </cell>
          <cell r="C840" t="e">
            <v>#REF!</v>
          </cell>
          <cell r="D840" t="e">
            <v>#REF!</v>
          </cell>
          <cell r="E840" t="e">
            <v>#REF!</v>
          </cell>
        </row>
        <row r="841">
          <cell r="A841" t="e">
            <v>#REF!</v>
          </cell>
          <cell r="B841" t="e">
            <v>#REF!</v>
          </cell>
          <cell r="C841" t="e">
            <v>#REF!</v>
          </cell>
          <cell r="D841" t="e">
            <v>#REF!</v>
          </cell>
          <cell r="E841" t="e">
            <v>#REF!</v>
          </cell>
        </row>
        <row r="842">
          <cell r="A842" t="e">
            <v>#REF!</v>
          </cell>
          <cell r="B842" t="e">
            <v>#REF!</v>
          </cell>
          <cell r="C842" t="e">
            <v>#REF!</v>
          </cell>
          <cell r="D842" t="e">
            <v>#REF!</v>
          </cell>
          <cell r="E842" t="e">
            <v>#REF!</v>
          </cell>
        </row>
        <row r="843">
          <cell r="A843" t="e">
            <v>#REF!</v>
          </cell>
          <cell r="B843" t="e">
            <v>#REF!</v>
          </cell>
          <cell r="C843" t="e">
            <v>#REF!</v>
          </cell>
          <cell r="D843" t="e">
            <v>#REF!</v>
          </cell>
          <cell r="E843" t="e">
            <v>#REF!</v>
          </cell>
        </row>
        <row r="844">
          <cell r="A844" t="e">
            <v>#REF!</v>
          </cell>
          <cell r="B844" t="e">
            <v>#REF!</v>
          </cell>
          <cell r="C844" t="e">
            <v>#REF!</v>
          </cell>
          <cell r="D844" t="e">
            <v>#REF!</v>
          </cell>
          <cell r="E844" t="e">
            <v>#REF!</v>
          </cell>
        </row>
        <row r="845">
          <cell r="A845" t="e">
            <v>#REF!</v>
          </cell>
          <cell r="B845" t="e">
            <v>#REF!</v>
          </cell>
          <cell r="C845" t="e">
            <v>#REF!</v>
          </cell>
          <cell r="D845" t="e">
            <v>#REF!</v>
          </cell>
          <cell r="E845" t="e">
            <v>#REF!</v>
          </cell>
        </row>
        <row r="846">
          <cell r="A846" t="e">
            <v>#REF!</v>
          </cell>
          <cell r="B846" t="e">
            <v>#REF!</v>
          </cell>
          <cell r="C846" t="e">
            <v>#REF!</v>
          </cell>
          <cell r="D846" t="e">
            <v>#REF!</v>
          </cell>
          <cell r="E846" t="e">
            <v>#REF!</v>
          </cell>
        </row>
        <row r="847">
          <cell r="A847" t="e">
            <v>#REF!</v>
          </cell>
          <cell r="B847" t="e">
            <v>#REF!</v>
          </cell>
          <cell r="C847" t="e">
            <v>#REF!</v>
          </cell>
          <cell r="D847" t="e">
            <v>#REF!</v>
          </cell>
          <cell r="E847" t="e">
            <v>#REF!</v>
          </cell>
        </row>
        <row r="848">
          <cell r="A848" t="e">
            <v>#REF!</v>
          </cell>
          <cell r="B848" t="e">
            <v>#REF!</v>
          </cell>
          <cell r="C848" t="e">
            <v>#REF!</v>
          </cell>
          <cell r="D848" t="e">
            <v>#REF!</v>
          </cell>
          <cell r="E848" t="e">
            <v>#REF!</v>
          </cell>
        </row>
        <row r="849">
          <cell r="A849" t="e">
            <v>#REF!</v>
          </cell>
          <cell r="B849" t="e">
            <v>#REF!</v>
          </cell>
          <cell r="C849" t="e">
            <v>#REF!</v>
          </cell>
          <cell r="D849" t="e">
            <v>#REF!</v>
          </cell>
          <cell r="E849" t="e">
            <v>#REF!</v>
          </cell>
        </row>
        <row r="850">
          <cell r="A850" t="e">
            <v>#REF!</v>
          </cell>
          <cell r="B850" t="e">
            <v>#REF!</v>
          </cell>
          <cell r="C850" t="e">
            <v>#REF!</v>
          </cell>
          <cell r="D850" t="e">
            <v>#REF!</v>
          </cell>
          <cell r="E850" t="e">
            <v>#REF!</v>
          </cell>
        </row>
        <row r="851">
          <cell r="A851" t="e">
            <v>#REF!</v>
          </cell>
          <cell r="B851" t="e">
            <v>#REF!</v>
          </cell>
          <cell r="C851" t="e">
            <v>#REF!</v>
          </cell>
          <cell r="D851" t="e">
            <v>#REF!</v>
          </cell>
          <cell r="E851" t="e">
            <v>#REF!</v>
          </cell>
        </row>
        <row r="852">
          <cell r="A852" t="e">
            <v>#REF!</v>
          </cell>
          <cell r="B852" t="e">
            <v>#REF!</v>
          </cell>
          <cell r="C852" t="e">
            <v>#REF!</v>
          </cell>
          <cell r="D852" t="e">
            <v>#REF!</v>
          </cell>
          <cell r="E852" t="e">
            <v>#REF!</v>
          </cell>
        </row>
        <row r="853">
          <cell r="A853" t="e">
            <v>#REF!</v>
          </cell>
          <cell r="B853" t="e">
            <v>#REF!</v>
          </cell>
          <cell r="C853" t="e">
            <v>#REF!</v>
          </cell>
          <cell r="D853" t="e">
            <v>#REF!</v>
          </cell>
          <cell r="E853" t="e">
            <v>#REF!</v>
          </cell>
        </row>
        <row r="854">
          <cell r="A854" t="e">
            <v>#REF!</v>
          </cell>
          <cell r="B854" t="e">
            <v>#REF!</v>
          </cell>
          <cell r="C854" t="e">
            <v>#REF!</v>
          </cell>
          <cell r="D854" t="e">
            <v>#REF!</v>
          </cell>
          <cell r="E854" t="e">
            <v>#REF!</v>
          </cell>
        </row>
        <row r="855">
          <cell r="A855" t="e">
            <v>#REF!</v>
          </cell>
          <cell r="B855" t="e">
            <v>#REF!</v>
          </cell>
          <cell r="C855" t="e">
            <v>#REF!</v>
          </cell>
          <cell r="D855" t="e">
            <v>#REF!</v>
          </cell>
          <cell r="E855" t="e">
            <v>#REF!</v>
          </cell>
        </row>
        <row r="856">
          <cell r="A856" t="e">
            <v>#REF!</v>
          </cell>
          <cell r="B856" t="e">
            <v>#REF!</v>
          </cell>
          <cell r="C856" t="e">
            <v>#REF!</v>
          </cell>
          <cell r="D856" t="e">
            <v>#REF!</v>
          </cell>
          <cell r="E856" t="e">
            <v>#REF!</v>
          </cell>
        </row>
        <row r="857">
          <cell r="A857" t="e">
            <v>#REF!</v>
          </cell>
          <cell r="B857" t="e">
            <v>#REF!</v>
          </cell>
          <cell r="C857" t="e">
            <v>#REF!</v>
          </cell>
          <cell r="D857" t="e">
            <v>#REF!</v>
          </cell>
          <cell r="E857" t="e">
            <v>#REF!</v>
          </cell>
        </row>
        <row r="858">
          <cell r="A858" t="e">
            <v>#REF!</v>
          </cell>
          <cell r="B858" t="e">
            <v>#REF!</v>
          </cell>
          <cell r="C858" t="e">
            <v>#REF!</v>
          </cell>
          <cell r="D858" t="e">
            <v>#REF!</v>
          </cell>
          <cell r="E858" t="e">
            <v>#REF!</v>
          </cell>
        </row>
        <row r="859">
          <cell r="A859" t="e">
            <v>#REF!</v>
          </cell>
          <cell r="B859" t="e">
            <v>#REF!</v>
          </cell>
          <cell r="C859" t="e">
            <v>#REF!</v>
          </cell>
          <cell r="D859" t="e">
            <v>#REF!</v>
          </cell>
          <cell r="E859" t="e">
            <v>#REF!</v>
          </cell>
        </row>
        <row r="860">
          <cell r="A860" t="e">
            <v>#REF!</v>
          </cell>
          <cell r="B860" t="e">
            <v>#REF!</v>
          </cell>
          <cell r="C860" t="e">
            <v>#REF!</v>
          </cell>
          <cell r="D860" t="e">
            <v>#REF!</v>
          </cell>
          <cell r="E860" t="e">
            <v>#REF!</v>
          </cell>
        </row>
        <row r="861">
          <cell r="A861" t="e">
            <v>#REF!</v>
          </cell>
          <cell r="B861" t="e">
            <v>#REF!</v>
          </cell>
          <cell r="C861" t="e">
            <v>#REF!</v>
          </cell>
          <cell r="D861" t="e">
            <v>#REF!</v>
          </cell>
          <cell r="E861" t="e">
            <v>#REF!</v>
          </cell>
        </row>
        <row r="862">
          <cell r="A862" t="e">
            <v>#REF!</v>
          </cell>
          <cell r="B862" t="e">
            <v>#REF!</v>
          </cell>
          <cell r="C862" t="e">
            <v>#REF!</v>
          </cell>
          <cell r="D862" t="e">
            <v>#REF!</v>
          </cell>
          <cell r="E862" t="e">
            <v>#REF!</v>
          </cell>
        </row>
        <row r="863">
          <cell r="A863" t="e">
            <v>#REF!</v>
          </cell>
          <cell r="B863" t="e">
            <v>#REF!</v>
          </cell>
          <cell r="C863" t="e">
            <v>#REF!</v>
          </cell>
          <cell r="D863" t="e">
            <v>#REF!</v>
          </cell>
          <cell r="E863" t="e">
            <v>#REF!</v>
          </cell>
        </row>
        <row r="864">
          <cell r="A864" t="e">
            <v>#REF!</v>
          </cell>
          <cell r="B864" t="e">
            <v>#REF!</v>
          </cell>
          <cell r="C864" t="e">
            <v>#REF!</v>
          </cell>
          <cell r="D864" t="e">
            <v>#REF!</v>
          </cell>
          <cell r="E864" t="e">
            <v>#REF!</v>
          </cell>
        </row>
        <row r="865">
          <cell r="A865" t="e">
            <v>#REF!</v>
          </cell>
          <cell r="B865" t="e">
            <v>#REF!</v>
          </cell>
          <cell r="C865" t="e">
            <v>#REF!</v>
          </cell>
          <cell r="D865" t="e">
            <v>#REF!</v>
          </cell>
          <cell r="E865" t="e">
            <v>#REF!</v>
          </cell>
        </row>
        <row r="866">
          <cell r="A866" t="e">
            <v>#REF!</v>
          </cell>
          <cell r="B866" t="e">
            <v>#REF!</v>
          </cell>
          <cell r="C866" t="e">
            <v>#REF!</v>
          </cell>
          <cell r="D866" t="e">
            <v>#REF!</v>
          </cell>
          <cell r="E866" t="e">
            <v>#REF!</v>
          </cell>
        </row>
        <row r="867">
          <cell r="A867" t="e">
            <v>#REF!</v>
          </cell>
          <cell r="B867" t="e">
            <v>#REF!</v>
          </cell>
          <cell r="C867" t="e">
            <v>#REF!</v>
          </cell>
          <cell r="D867" t="e">
            <v>#REF!</v>
          </cell>
          <cell r="E867" t="e">
            <v>#REF!</v>
          </cell>
        </row>
        <row r="868">
          <cell r="A868" t="e">
            <v>#REF!</v>
          </cell>
          <cell r="B868" t="e">
            <v>#REF!</v>
          </cell>
          <cell r="C868" t="e">
            <v>#REF!</v>
          </cell>
          <cell r="D868" t="e">
            <v>#REF!</v>
          </cell>
          <cell r="E868" t="e">
            <v>#REF!</v>
          </cell>
        </row>
        <row r="869">
          <cell r="A869" t="e">
            <v>#REF!</v>
          </cell>
          <cell r="B869" t="e">
            <v>#REF!</v>
          </cell>
          <cell r="C869" t="e">
            <v>#REF!</v>
          </cell>
          <cell r="D869" t="e">
            <v>#REF!</v>
          </cell>
          <cell r="E869" t="e">
            <v>#REF!</v>
          </cell>
        </row>
        <row r="870">
          <cell r="A870" t="e">
            <v>#REF!</v>
          </cell>
          <cell r="B870" t="e">
            <v>#REF!</v>
          </cell>
          <cell r="C870" t="e">
            <v>#REF!</v>
          </cell>
          <cell r="D870" t="e">
            <v>#REF!</v>
          </cell>
          <cell r="E870" t="e">
            <v>#REF!</v>
          </cell>
        </row>
        <row r="871">
          <cell r="A871" t="e">
            <v>#REF!</v>
          </cell>
          <cell r="B871" t="e">
            <v>#REF!</v>
          </cell>
          <cell r="C871" t="e">
            <v>#REF!</v>
          </cell>
          <cell r="D871" t="e">
            <v>#REF!</v>
          </cell>
          <cell r="E871" t="e">
            <v>#REF!</v>
          </cell>
        </row>
        <row r="872">
          <cell r="A872" t="e">
            <v>#REF!</v>
          </cell>
          <cell r="B872" t="e">
            <v>#REF!</v>
          </cell>
          <cell r="C872" t="e">
            <v>#REF!</v>
          </cell>
          <cell r="D872" t="e">
            <v>#REF!</v>
          </cell>
          <cell r="E872" t="e">
            <v>#REF!</v>
          </cell>
        </row>
        <row r="873">
          <cell r="A873" t="e">
            <v>#REF!</v>
          </cell>
          <cell r="B873" t="e">
            <v>#REF!</v>
          </cell>
          <cell r="C873" t="e">
            <v>#REF!</v>
          </cell>
          <cell r="D873" t="e">
            <v>#REF!</v>
          </cell>
          <cell r="E873" t="e">
            <v>#REF!</v>
          </cell>
        </row>
        <row r="874">
          <cell r="A874" t="e">
            <v>#REF!</v>
          </cell>
          <cell r="B874" t="e">
            <v>#REF!</v>
          </cell>
          <cell r="C874" t="e">
            <v>#REF!</v>
          </cell>
          <cell r="D874" t="e">
            <v>#REF!</v>
          </cell>
          <cell r="E874" t="e">
            <v>#REF!</v>
          </cell>
        </row>
        <row r="875">
          <cell r="A875" t="e">
            <v>#REF!</v>
          </cell>
          <cell r="B875" t="e">
            <v>#REF!</v>
          </cell>
          <cell r="C875" t="e">
            <v>#REF!</v>
          </cell>
          <cell r="D875" t="e">
            <v>#REF!</v>
          </cell>
          <cell r="E875" t="e">
            <v>#REF!</v>
          </cell>
        </row>
        <row r="876">
          <cell r="A876" t="e">
            <v>#REF!</v>
          </cell>
          <cell r="B876" t="e">
            <v>#REF!</v>
          </cell>
          <cell r="C876" t="e">
            <v>#REF!</v>
          </cell>
          <cell r="D876" t="e">
            <v>#REF!</v>
          </cell>
          <cell r="E876" t="e">
            <v>#REF!</v>
          </cell>
        </row>
        <row r="877">
          <cell r="A877" t="e">
            <v>#REF!</v>
          </cell>
          <cell r="B877" t="e">
            <v>#REF!</v>
          </cell>
          <cell r="C877" t="e">
            <v>#REF!</v>
          </cell>
          <cell r="D877" t="e">
            <v>#REF!</v>
          </cell>
          <cell r="E877" t="e">
            <v>#REF!</v>
          </cell>
        </row>
        <row r="878">
          <cell r="A878" t="e">
            <v>#REF!</v>
          </cell>
          <cell r="B878" t="e">
            <v>#REF!</v>
          </cell>
          <cell r="C878" t="e">
            <v>#REF!</v>
          </cell>
          <cell r="D878" t="e">
            <v>#REF!</v>
          </cell>
          <cell r="E878" t="e">
            <v>#REF!</v>
          </cell>
        </row>
        <row r="879">
          <cell r="A879" t="e">
            <v>#REF!</v>
          </cell>
          <cell r="B879" t="e">
            <v>#REF!</v>
          </cell>
          <cell r="C879" t="e">
            <v>#REF!</v>
          </cell>
          <cell r="D879" t="e">
            <v>#REF!</v>
          </cell>
          <cell r="E879" t="e">
            <v>#REF!</v>
          </cell>
        </row>
        <row r="880">
          <cell r="A880" t="e">
            <v>#REF!</v>
          </cell>
          <cell r="B880" t="e">
            <v>#REF!</v>
          </cell>
          <cell r="C880" t="e">
            <v>#REF!</v>
          </cell>
          <cell r="D880" t="e">
            <v>#REF!</v>
          </cell>
          <cell r="E880" t="e">
            <v>#REF!</v>
          </cell>
        </row>
        <row r="881">
          <cell r="A881" t="e">
            <v>#REF!</v>
          </cell>
          <cell r="B881" t="e">
            <v>#REF!</v>
          </cell>
          <cell r="C881" t="e">
            <v>#REF!</v>
          </cell>
          <cell r="D881" t="e">
            <v>#REF!</v>
          </cell>
          <cell r="E881" t="e">
            <v>#REF!</v>
          </cell>
        </row>
        <row r="882">
          <cell r="A882" t="e">
            <v>#REF!</v>
          </cell>
          <cell r="B882" t="e">
            <v>#REF!</v>
          </cell>
          <cell r="C882" t="e">
            <v>#REF!</v>
          </cell>
          <cell r="D882" t="e">
            <v>#REF!</v>
          </cell>
          <cell r="E882" t="e">
            <v>#REF!</v>
          </cell>
        </row>
        <row r="883">
          <cell r="A883" t="e">
            <v>#REF!</v>
          </cell>
          <cell r="B883" t="e">
            <v>#REF!</v>
          </cell>
          <cell r="C883" t="e">
            <v>#REF!</v>
          </cell>
          <cell r="D883" t="e">
            <v>#REF!</v>
          </cell>
          <cell r="E883" t="e">
            <v>#REF!</v>
          </cell>
        </row>
        <row r="884">
          <cell r="A884" t="e">
            <v>#REF!</v>
          </cell>
          <cell r="B884" t="e">
            <v>#REF!</v>
          </cell>
          <cell r="C884" t="e">
            <v>#REF!</v>
          </cell>
          <cell r="D884" t="e">
            <v>#REF!</v>
          </cell>
          <cell r="E884" t="e">
            <v>#REF!</v>
          </cell>
        </row>
        <row r="885">
          <cell r="A885" t="e">
            <v>#REF!</v>
          </cell>
          <cell r="B885" t="e">
            <v>#REF!</v>
          </cell>
          <cell r="C885" t="e">
            <v>#REF!</v>
          </cell>
          <cell r="D885" t="e">
            <v>#REF!</v>
          </cell>
          <cell r="E885" t="e">
            <v>#REF!</v>
          </cell>
        </row>
        <row r="886">
          <cell r="A886" t="e">
            <v>#REF!</v>
          </cell>
          <cell r="B886" t="e">
            <v>#REF!</v>
          </cell>
          <cell r="C886" t="e">
            <v>#REF!</v>
          </cell>
          <cell r="D886" t="e">
            <v>#REF!</v>
          </cell>
          <cell r="E886" t="e">
            <v>#REF!</v>
          </cell>
        </row>
        <row r="887">
          <cell r="A887" t="e">
            <v>#REF!</v>
          </cell>
          <cell r="B887" t="e">
            <v>#REF!</v>
          </cell>
          <cell r="C887" t="e">
            <v>#REF!</v>
          </cell>
          <cell r="D887" t="e">
            <v>#REF!</v>
          </cell>
          <cell r="E887" t="e">
            <v>#REF!</v>
          </cell>
        </row>
        <row r="888">
          <cell r="A888" t="e">
            <v>#REF!</v>
          </cell>
          <cell r="B888" t="e">
            <v>#REF!</v>
          </cell>
          <cell r="C888" t="e">
            <v>#REF!</v>
          </cell>
          <cell r="D888" t="e">
            <v>#REF!</v>
          </cell>
          <cell r="E888" t="e">
            <v>#REF!</v>
          </cell>
        </row>
        <row r="889">
          <cell r="A889" t="e">
            <v>#REF!</v>
          </cell>
          <cell r="B889" t="e">
            <v>#REF!</v>
          </cell>
          <cell r="C889" t="e">
            <v>#REF!</v>
          </cell>
          <cell r="D889" t="e">
            <v>#REF!</v>
          </cell>
          <cell r="E889" t="e">
            <v>#REF!</v>
          </cell>
        </row>
        <row r="890">
          <cell r="A890" t="e">
            <v>#REF!</v>
          </cell>
          <cell r="B890" t="e">
            <v>#REF!</v>
          </cell>
          <cell r="C890" t="e">
            <v>#REF!</v>
          </cell>
          <cell r="D890" t="e">
            <v>#REF!</v>
          </cell>
          <cell r="E890" t="e">
            <v>#REF!</v>
          </cell>
        </row>
        <row r="891">
          <cell r="A891" t="e">
            <v>#REF!</v>
          </cell>
          <cell r="B891" t="e">
            <v>#REF!</v>
          </cell>
          <cell r="C891" t="e">
            <v>#REF!</v>
          </cell>
          <cell r="D891" t="e">
            <v>#REF!</v>
          </cell>
          <cell r="E891" t="e">
            <v>#REF!</v>
          </cell>
        </row>
        <row r="892">
          <cell r="A892" t="e">
            <v>#REF!</v>
          </cell>
          <cell r="B892" t="e">
            <v>#REF!</v>
          </cell>
          <cell r="C892" t="e">
            <v>#REF!</v>
          </cell>
          <cell r="D892" t="e">
            <v>#REF!</v>
          </cell>
          <cell r="E892" t="e">
            <v>#REF!</v>
          </cell>
        </row>
        <row r="893">
          <cell r="A893" t="e">
            <v>#REF!</v>
          </cell>
          <cell r="B893" t="e">
            <v>#REF!</v>
          </cell>
          <cell r="C893" t="e">
            <v>#REF!</v>
          </cell>
          <cell r="D893" t="e">
            <v>#REF!</v>
          </cell>
          <cell r="E893" t="e">
            <v>#REF!</v>
          </cell>
        </row>
        <row r="894">
          <cell r="A894" t="e">
            <v>#REF!</v>
          </cell>
          <cell r="B894" t="e">
            <v>#REF!</v>
          </cell>
          <cell r="C894" t="e">
            <v>#REF!</v>
          </cell>
          <cell r="D894" t="e">
            <v>#REF!</v>
          </cell>
          <cell r="E894" t="e">
            <v>#REF!</v>
          </cell>
        </row>
        <row r="895">
          <cell r="A895" t="e">
            <v>#REF!</v>
          </cell>
          <cell r="B895" t="e">
            <v>#REF!</v>
          </cell>
          <cell r="C895" t="e">
            <v>#REF!</v>
          </cell>
          <cell r="D895" t="e">
            <v>#REF!</v>
          </cell>
          <cell r="E895" t="e">
            <v>#REF!</v>
          </cell>
        </row>
        <row r="896">
          <cell r="A896" t="e">
            <v>#REF!</v>
          </cell>
          <cell r="B896" t="e">
            <v>#REF!</v>
          </cell>
          <cell r="C896" t="e">
            <v>#REF!</v>
          </cell>
          <cell r="D896" t="e">
            <v>#REF!</v>
          </cell>
          <cell r="E896" t="e">
            <v>#REF!</v>
          </cell>
        </row>
        <row r="897">
          <cell r="A897" t="e">
            <v>#REF!</v>
          </cell>
          <cell r="B897" t="e">
            <v>#REF!</v>
          </cell>
          <cell r="C897" t="e">
            <v>#REF!</v>
          </cell>
          <cell r="D897" t="e">
            <v>#REF!</v>
          </cell>
          <cell r="E897" t="e">
            <v>#REF!</v>
          </cell>
        </row>
        <row r="898">
          <cell r="A898" t="e">
            <v>#REF!</v>
          </cell>
          <cell r="B898" t="e">
            <v>#REF!</v>
          </cell>
          <cell r="C898" t="e">
            <v>#REF!</v>
          </cell>
          <cell r="D898" t="e">
            <v>#REF!</v>
          </cell>
          <cell r="E898" t="e">
            <v>#REF!</v>
          </cell>
        </row>
        <row r="899">
          <cell r="A899" t="e">
            <v>#REF!</v>
          </cell>
          <cell r="B899" t="e">
            <v>#REF!</v>
          </cell>
          <cell r="C899" t="e">
            <v>#REF!</v>
          </cell>
          <cell r="D899" t="e">
            <v>#REF!</v>
          </cell>
          <cell r="E899" t="e">
            <v>#REF!</v>
          </cell>
        </row>
        <row r="900">
          <cell r="A900" t="e">
            <v>#REF!</v>
          </cell>
          <cell r="B900" t="e">
            <v>#REF!</v>
          </cell>
          <cell r="C900" t="e">
            <v>#REF!</v>
          </cell>
          <cell r="D900" t="e">
            <v>#REF!</v>
          </cell>
          <cell r="E900" t="e">
            <v>#REF!</v>
          </cell>
        </row>
        <row r="901">
          <cell r="A901" t="e">
            <v>#REF!</v>
          </cell>
          <cell r="B901" t="e">
            <v>#REF!</v>
          </cell>
          <cell r="C901" t="e">
            <v>#REF!</v>
          </cell>
          <cell r="D901" t="e">
            <v>#REF!</v>
          </cell>
          <cell r="E901" t="e">
            <v>#REF!</v>
          </cell>
        </row>
        <row r="902">
          <cell r="A902" t="e">
            <v>#REF!</v>
          </cell>
          <cell r="B902" t="e">
            <v>#REF!</v>
          </cell>
          <cell r="C902" t="e">
            <v>#REF!</v>
          </cell>
          <cell r="D902" t="e">
            <v>#REF!</v>
          </cell>
          <cell r="E902" t="e">
            <v>#REF!</v>
          </cell>
        </row>
        <row r="903">
          <cell r="A903" t="e">
            <v>#REF!</v>
          </cell>
          <cell r="B903" t="e">
            <v>#REF!</v>
          </cell>
          <cell r="C903" t="e">
            <v>#REF!</v>
          </cell>
          <cell r="D903" t="e">
            <v>#REF!</v>
          </cell>
          <cell r="E903" t="e">
            <v>#REF!</v>
          </cell>
        </row>
        <row r="904">
          <cell r="A904" t="e">
            <v>#REF!</v>
          </cell>
          <cell r="B904" t="e">
            <v>#REF!</v>
          </cell>
          <cell r="C904" t="e">
            <v>#REF!</v>
          </cell>
          <cell r="D904" t="e">
            <v>#REF!</v>
          </cell>
          <cell r="E904" t="e">
            <v>#REF!</v>
          </cell>
        </row>
        <row r="905">
          <cell r="A905" t="e">
            <v>#REF!</v>
          </cell>
          <cell r="B905" t="e">
            <v>#REF!</v>
          </cell>
          <cell r="C905" t="e">
            <v>#REF!</v>
          </cell>
          <cell r="D905" t="e">
            <v>#REF!</v>
          </cell>
          <cell r="E905" t="e">
            <v>#REF!</v>
          </cell>
        </row>
        <row r="906">
          <cell r="A906" t="e">
            <v>#REF!</v>
          </cell>
          <cell r="B906" t="e">
            <v>#REF!</v>
          </cell>
          <cell r="C906" t="e">
            <v>#REF!</v>
          </cell>
          <cell r="D906" t="e">
            <v>#REF!</v>
          </cell>
          <cell r="E906" t="e">
            <v>#REF!</v>
          </cell>
        </row>
        <row r="907">
          <cell r="A907" t="e">
            <v>#REF!</v>
          </cell>
          <cell r="B907" t="e">
            <v>#REF!</v>
          </cell>
          <cell r="C907" t="e">
            <v>#REF!</v>
          </cell>
          <cell r="D907" t="e">
            <v>#REF!</v>
          </cell>
          <cell r="E907" t="e">
            <v>#REF!</v>
          </cell>
        </row>
        <row r="908">
          <cell r="A908" t="e">
            <v>#REF!</v>
          </cell>
          <cell r="B908" t="e">
            <v>#REF!</v>
          </cell>
          <cell r="C908" t="e">
            <v>#REF!</v>
          </cell>
          <cell r="D908" t="e">
            <v>#REF!</v>
          </cell>
          <cell r="E908" t="e">
            <v>#REF!</v>
          </cell>
        </row>
        <row r="909">
          <cell r="A909" t="e">
            <v>#REF!</v>
          </cell>
          <cell r="B909" t="e">
            <v>#REF!</v>
          </cell>
          <cell r="C909" t="e">
            <v>#REF!</v>
          </cell>
          <cell r="D909" t="e">
            <v>#REF!</v>
          </cell>
          <cell r="E909" t="e">
            <v>#REF!</v>
          </cell>
        </row>
        <row r="910">
          <cell r="A910" t="e">
            <v>#REF!</v>
          </cell>
          <cell r="B910" t="e">
            <v>#REF!</v>
          </cell>
          <cell r="C910" t="e">
            <v>#REF!</v>
          </cell>
          <cell r="D910" t="e">
            <v>#REF!</v>
          </cell>
          <cell r="E910" t="e">
            <v>#REF!</v>
          </cell>
        </row>
        <row r="911">
          <cell r="A911" t="e">
            <v>#REF!</v>
          </cell>
          <cell r="B911" t="e">
            <v>#REF!</v>
          </cell>
          <cell r="C911" t="e">
            <v>#REF!</v>
          </cell>
          <cell r="D911" t="e">
            <v>#REF!</v>
          </cell>
          <cell r="E911" t="e">
            <v>#REF!</v>
          </cell>
        </row>
        <row r="912">
          <cell r="A912" t="e">
            <v>#REF!</v>
          </cell>
          <cell r="B912" t="e">
            <v>#REF!</v>
          </cell>
          <cell r="C912" t="e">
            <v>#REF!</v>
          </cell>
          <cell r="D912" t="e">
            <v>#REF!</v>
          </cell>
          <cell r="E912" t="e">
            <v>#REF!</v>
          </cell>
        </row>
        <row r="913">
          <cell r="A913" t="e">
            <v>#REF!</v>
          </cell>
          <cell r="B913" t="e">
            <v>#REF!</v>
          </cell>
          <cell r="C913" t="e">
            <v>#REF!</v>
          </cell>
          <cell r="D913" t="e">
            <v>#REF!</v>
          </cell>
          <cell r="E913" t="e">
            <v>#REF!</v>
          </cell>
        </row>
        <row r="914">
          <cell r="A914" t="e">
            <v>#REF!</v>
          </cell>
          <cell r="B914" t="e">
            <v>#REF!</v>
          </cell>
          <cell r="C914" t="e">
            <v>#REF!</v>
          </cell>
          <cell r="D914" t="e">
            <v>#REF!</v>
          </cell>
          <cell r="E914" t="e">
            <v>#REF!</v>
          </cell>
        </row>
        <row r="915">
          <cell r="A915" t="e">
            <v>#REF!</v>
          </cell>
          <cell r="B915" t="e">
            <v>#REF!</v>
          </cell>
          <cell r="C915" t="e">
            <v>#REF!</v>
          </cell>
          <cell r="D915" t="e">
            <v>#REF!</v>
          </cell>
          <cell r="E915" t="e">
            <v>#REF!</v>
          </cell>
        </row>
        <row r="916">
          <cell r="A916" t="e">
            <v>#REF!</v>
          </cell>
          <cell r="B916" t="e">
            <v>#REF!</v>
          </cell>
          <cell r="C916" t="e">
            <v>#REF!</v>
          </cell>
          <cell r="D916" t="e">
            <v>#REF!</v>
          </cell>
          <cell r="E916" t="e">
            <v>#REF!</v>
          </cell>
        </row>
        <row r="917">
          <cell r="A917" t="e">
            <v>#REF!</v>
          </cell>
          <cell r="B917" t="e">
            <v>#REF!</v>
          </cell>
          <cell r="C917" t="e">
            <v>#REF!</v>
          </cell>
          <cell r="D917" t="e">
            <v>#REF!</v>
          </cell>
          <cell r="E917" t="e">
            <v>#REF!</v>
          </cell>
        </row>
        <row r="918">
          <cell r="A918" t="e">
            <v>#REF!</v>
          </cell>
          <cell r="B918" t="e">
            <v>#REF!</v>
          </cell>
          <cell r="C918" t="e">
            <v>#REF!</v>
          </cell>
          <cell r="D918" t="e">
            <v>#REF!</v>
          </cell>
          <cell r="E918" t="e">
            <v>#REF!</v>
          </cell>
        </row>
        <row r="919">
          <cell r="A919" t="e">
            <v>#REF!</v>
          </cell>
          <cell r="B919" t="e">
            <v>#REF!</v>
          </cell>
          <cell r="C919" t="e">
            <v>#REF!</v>
          </cell>
          <cell r="D919" t="e">
            <v>#REF!</v>
          </cell>
          <cell r="E919" t="e">
            <v>#REF!</v>
          </cell>
        </row>
        <row r="920">
          <cell r="A920" t="e">
            <v>#REF!</v>
          </cell>
          <cell r="B920" t="e">
            <v>#REF!</v>
          </cell>
          <cell r="C920" t="e">
            <v>#REF!</v>
          </cell>
          <cell r="D920" t="e">
            <v>#REF!</v>
          </cell>
          <cell r="E920" t="e">
            <v>#REF!</v>
          </cell>
        </row>
        <row r="921">
          <cell r="A921" t="e">
            <v>#REF!</v>
          </cell>
          <cell r="B921" t="e">
            <v>#REF!</v>
          </cell>
          <cell r="C921" t="e">
            <v>#REF!</v>
          </cell>
          <cell r="D921" t="e">
            <v>#REF!</v>
          </cell>
          <cell r="E921" t="e">
            <v>#REF!</v>
          </cell>
        </row>
        <row r="922">
          <cell r="A922" t="e">
            <v>#REF!</v>
          </cell>
          <cell r="B922" t="e">
            <v>#REF!</v>
          </cell>
          <cell r="C922" t="e">
            <v>#REF!</v>
          </cell>
          <cell r="D922" t="e">
            <v>#REF!</v>
          </cell>
          <cell r="E922" t="e">
            <v>#REF!</v>
          </cell>
        </row>
        <row r="923">
          <cell r="A923" t="e">
            <v>#REF!</v>
          </cell>
          <cell r="B923" t="e">
            <v>#REF!</v>
          </cell>
          <cell r="C923" t="e">
            <v>#REF!</v>
          </cell>
          <cell r="D923" t="e">
            <v>#REF!</v>
          </cell>
          <cell r="E923" t="e">
            <v>#REF!</v>
          </cell>
        </row>
        <row r="924">
          <cell r="A924" t="e">
            <v>#REF!</v>
          </cell>
          <cell r="B924" t="e">
            <v>#REF!</v>
          </cell>
          <cell r="C924" t="e">
            <v>#REF!</v>
          </cell>
          <cell r="D924" t="e">
            <v>#REF!</v>
          </cell>
          <cell r="E924" t="e">
            <v>#REF!</v>
          </cell>
        </row>
        <row r="925">
          <cell r="A925" t="e">
            <v>#REF!</v>
          </cell>
          <cell r="B925" t="e">
            <v>#REF!</v>
          </cell>
          <cell r="C925" t="e">
            <v>#REF!</v>
          </cell>
          <cell r="D925" t="e">
            <v>#REF!</v>
          </cell>
          <cell r="E925" t="e">
            <v>#REF!</v>
          </cell>
        </row>
        <row r="926">
          <cell r="A926" t="e">
            <v>#REF!</v>
          </cell>
          <cell r="B926" t="e">
            <v>#REF!</v>
          </cell>
          <cell r="C926" t="e">
            <v>#REF!</v>
          </cell>
          <cell r="D926" t="e">
            <v>#REF!</v>
          </cell>
          <cell r="E926" t="e">
            <v>#REF!</v>
          </cell>
        </row>
        <row r="927">
          <cell r="A927" t="e">
            <v>#REF!</v>
          </cell>
          <cell r="B927" t="e">
            <v>#REF!</v>
          </cell>
          <cell r="C927" t="e">
            <v>#REF!</v>
          </cell>
          <cell r="D927" t="e">
            <v>#REF!</v>
          </cell>
          <cell r="E927" t="e">
            <v>#REF!</v>
          </cell>
        </row>
        <row r="928">
          <cell r="A928" t="e">
            <v>#REF!</v>
          </cell>
          <cell r="B928" t="e">
            <v>#REF!</v>
          </cell>
          <cell r="C928" t="e">
            <v>#REF!</v>
          </cell>
          <cell r="D928" t="e">
            <v>#REF!</v>
          </cell>
          <cell r="E928" t="e">
            <v>#REF!</v>
          </cell>
        </row>
        <row r="929">
          <cell r="A929" t="e">
            <v>#REF!</v>
          </cell>
          <cell r="B929" t="e">
            <v>#REF!</v>
          </cell>
          <cell r="C929" t="e">
            <v>#REF!</v>
          </cell>
          <cell r="D929" t="e">
            <v>#REF!</v>
          </cell>
          <cell r="E929" t="e">
            <v>#REF!</v>
          </cell>
        </row>
        <row r="930">
          <cell r="A930" t="e">
            <v>#REF!</v>
          </cell>
          <cell r="B930" t="e">
            <v>#REF!</v>
          </cell>
          <cell r="C930" t="e">
            <v>#REF!</v>
          </cell>
          <cell r="D930" t="e">
            <v>#REF!</v>
          </cell>
          <cell r="E930" t="e">
            <v>#REF!</v>
          </cell>
        </row>
        <row r="931">
          <cell r="A931" t="e">
            <v>#REF!</v>
          </cell>
          <cell r="B931" t="e">
            <v>#REF!</v>
          </cell>
          <cell r="C931" t="e">
            <v>#REF!</v>
          </cell>
          <cell r="D931" t="e">
            <v>#REF!</v>
          </cell>
          <cell r="E931" t="e">
            <v>#REF!</v>
          </cell>
        </row>
        <row r="932">
          <cell r="A932" t="e">
            <v>#REF!</v>
          </cell>
          <cell r="B932" t="e">
            <v>#REF!</v>
          </cell>
          <cell r="C932" t="e">
            <v>#REF!</v>
          </cell>
          <cell r="D932" t="e">
            <v>#REF!</v>
          </cell>
          <cell r="E932" t="e">
            <v>#REF!</v>
          </cell>
        </row>
        <row r="933">
          <cell r="A933" t="e">
            <v>#REF!</v>
          </cell>
          <cell r="B933" t="e">
            <v>#REF!</v>
          </cell>
          <cell r="C933" t="e">
            <v>#REF!</v>
          </cell>
          <cell r="D933" t="e">
            <v>#REF!</v>
          </cell>
          <cell r="E933" t="e">
            <v>#REF!</v>
          </cell>
        </row>
        <row r="934">
          <cell r="A934" t="e">
            <v>#REF!</v>
          </cell>
          <cell r="B934" t="e">
            <v>#REF!</v>
          </cell>
          <cell r="C934" t="e">
            <v>#REF!</v>
          </cell>
          <cell r="D934" t="e">
            <v>#REF!</v>
          </cell>
          <cell r="E934" t="e">
            <v>#REF!</v>
          </cell>
        </row>
        <row r="935">
          <cell r="A935" t="e">
            <v>#REF!</v>
          </cell>
          <cell r="B935" t="e">
            <v>#REF!</v>
          </cell>
          <cell r="C935" t="e">
            <v>#REF!</v>
          </cell>
          <cell r="D935" t="e">
            <v>#REF!</v>
          </cell>
          <cell r="E935" t="e">
            <v>#REF!</v>
          </cell>
        </row>
        <row r="936">
          <cell r="A936" t="e">
            <v>#REF!</v>
          </cell>
          <cell r="B936" t="e">
            <v>#REF!</v>
          </cell>
          <cell r="C936" t="e">
            <v>#REF!</v>
          </cell>
          <cell r="D936" t="e">
            <v>#REF!</v>
          </cell>
          <cell r="E936" t="e">
            <v>#REF!</v>
          </cell>
        </row>
        <row r="937">
          <cell r="A937" t="e">
            <v>#REF!</v>
          </cell>
          <cell r="B937" t="e">
            <v>#REF!</v>
          </cell>
          <cell r="C937" t="e">
            <v>#REF!</v>
          </cell>
          <cell r="D937" t="e">
            <v>#REF!</v>
          </cell>
          <cell r="E937" t="e">
            <v>#REF!</v>
          </cell>
        </row>
        <row r="938">
          <cell r="A938" t="e">
            <v>#REF!</v>
          </cell>
          <cell r="B938" t="e">
            <v>#REF!</v>
          </cell>
          <cell r="C938" t="e">
            <v>#REF!</v>
          </cell>
          <cell r="D938" t="e">
            <v>#REF!</v>
          </cell>
          <cell r="E938" t="e">
            <v>#REF!</v>
          </cell>
        </row>
        <row r="939">
          <cell r="A939" t="e">
            <v>#REF!</v>
          </cell>
          <cell r="B939" t="e">
            <v>#REF!</v>
          </cell>
          <cell r="C939" t="e">
            <v>#REF!</v>
          </cell>
          <cell r="D939" t="e">
            <v>#REF!</v>
          </cell>
          <cell r="E939" t="e">
            <v>#REF!</v>
          </cell>
        </row>
        <row r="940">
          <cell r="A940" t="e">
            <v>#REF!</v>
          </cell>
          <cell r="B940" t="e">
            <v>#REF!</v>
          </cell>
          <cell r="C940" t="e">
            <v>#REF!</v>
          </cell>
          <cell r="D940" t="e">
            <v>#REF!</v>
          </cell>
          <cell r="E940" t="e">
            <v>#REF!</v>
          </cell>
        </row>
        <row r="941">
          <cell r="A941" t="e">
            <v>#REF!</v>
          </cell>
          <cell r="B941" t="e">
            <v>#REF!</v>
          </cell>
          <cell r="C941" t="e">
            <v>#REF!</v>
          </cell>
          <cell r="D941" t="e">
            <v>#REF!</v>
          </cell>
          <cell r="E941" t="e">
            <v>#REF!</v>
          </cell>
        </row>
        <row r="942">
          <cell r="A942" t="e">
            <v>#REF!</v>
          </cell>
          <cell r="B942" t="e">
            <v>#REF!</v>
          </cell>
          <cell r="C942" t="e">
            <v>#REF!</v>
          </cell>
          <cell r="D942" t="e">
            <v>#REF!</v>
          </cell>
          <cell r="E942" t="e">
            <v>#REF!</v>
          </cell>
        </row>
        <row r="943">
          <cell r="A943" t="e">
            <v>#REF!</v>
          </cell>
          <cell r="B943" t="e">
            <v>#REF!</v>
          </cell>
          <cell r="C943" t="e">
            <v>#REF!</v>
          </cell>
          <cell r="D943" t="e">
            <v>#REF!</v>
          </cell>
          <cell r="E943" t="e">
            <v>#REF!</v>
          </cell>
        </row>
        <row r="944">
          <cell r="A944" t="e">
            <v>#REF!</v>
          </cell>
          <cell r="B944" t="e">
            <v>#REF!</v>
          </cell>
          <cell r="C944" t="e">
            <v>#REF!</v>
          </cell>
          <cell r="D944" t="e">
            <v>#REF!</v>
          </cell>
          <cell r="E944" t="e">
            <v>#REF!</v>
          </cell>
        </row>
        <row r="945">
          <cell r="A945" t="e">
            <v>#REF!</v>
          </cell>
          <cell r="B945" t="e">
            <v>#REF!</v>
          </cell>
          <cell r="C945" t="e">
            <v>#REF!</v>
          </cell>
          <cell r="D945" t="e">
            <v>#REF!</v>
          </cell>
          <cell r="E945" t="e">
            <v>#REF!</v>
          </cell>
        </row>
        <row r="946">
          <cell r="A946" t="e">
            <v>#REF!</v>
          </cell>
          <cell r="B946" t="e">
            <v>#REF!</v>
          </cell>
          <cell r="C946" t="e">
            <v>#REF!</v>
          </cell>
          <cell r="D946" t="e">
            <v>#REF!</v>
          </cell>
          <cell r="E946" t="e">
            <v>#REF!</v>
          </cell>
        </row>
        <row r="947">
          <cell r="A947" t="e">
            <v>#REF!</v>
          </cell>
          <cell r="B947" t="e">
            <v>#REF!</v>
          </cell>
          <cell r="C947" t="e">
            <v>#REF!</v>
          </cell>
          <cell r="D947" t="e">
            <v>#REF!</v>
          </cell>
          <cell r="E947" t="e">
            <v>#REF!</v>
          </cell>
        </row>
        <row r="948">
          <cell r="A948" t="e">
            <v>#REF!</v>
          </cell>
          <cell r="B948" t="e">
            <v>#REF!</v>
          </cell>
          <cell r="C948" t="e">
            <v>#REF!</v>
          </cell>
          <cell r="D948" t="e">
            <v>#REF!</v>
          </cell>
          <cell r="E948" t="e">
            <v>#REF!</v>
          </cell>
        </row>
        <row r="949">
          <cell r="A949" t="e">
            <v>#REF!</v>
          </cell>
          <cell r="B949" t="e">
            <v>#REF!</v>
          </cell>
          <cell r="C949" t="e">
            <v>#REF!</v>
          </cell>
          <cell r="D949" t="e">
            <v>#REF!</v>
          </cell>
          <cell r="E949" t="e">
            <v>#REF!</v>
          </cell>
        </row>
        <row r="950">
          <cell r="A950" t="e">
            <v>#REF!</v>
          </cell>
          <cell r="B950" t="e">
            <v>#REF!</v>
          </cell>
          <cell r="C950" t="e">
            <v>#REF!</v>
          </cell>
          <cell r="D950" t="e">
            <v>#REF!</v>
          </cell>
          <cell r="E950" t="e">
            <v>#REF!</v>
          </cell>
        </row>
        <row r="951">
          <cell r="A951" t="e">
            <v>#REF!</v>
          </cell>
          <cell r="B951" t="e">
            <v>#REF!</v>
          </cell>
          <cell r="C951" t="e">
            <v>#REF!</v>
          </cell>
          <cell r="D951" t="e">
            <v>#REF!</v>
          </cell>
          <cell r="E951" t="e">
            <v>#REF!</v>
          </cell>
        </row>
        <row r="952">
          <cell r="A952" t="e">
            <v>#REF!</v>
          </cell>
          <cell r="B952" t="e">
            <v>#REF!</v>
          </cell>
          <cell r="C952" t="e">
            <v>#REF!</v>
          </cell>
          <cell r="D952" t="e">
            <v>#REF!</v>
          </cell>
          <cell r="E952" t="e">
            <v>#REF!</v>
          </cell>
        </row>
        <row r="953">
          <cell r="A953" t="e">
            <v>#REF!</v>
          </cell>
          <cell r="B953" t="e">
            <v>#REF!</v>
          </cell>
          <cell r="C953" t="e">
            <v>#REF!</v>
          </cell>
          <cell r="D953" t="e">
            <v>#REF!</v>
          </cell>
          <cell r="E953" t="e">
            <v>#REF!</v>
          </cell>
        </row>
        <row r="954">
          <cell r="A954" t="e">
            <v>#REF!</v>
          </cell>
          <cell r="B954" t="e">
            <v>#REF!</v>
          </cell>
          <cell r="C954" t="e">
            <v>#REF!</v>
          </cell>
          <cell r="D954" t="e">
            <v>#REF!</v>
          </cell>
          <cell r="E954" t="e">
            <v>#REF!</v>
          </cell>
        </row>
        <row r="955">
          <cell r="A955" t="e">
            <v>#REF!</v>
          </cell>
          <cell r="B955" t="e">
            <v>#REF!</v>
          </cell>
          <cell r="C955" t="e">
            <v>#REF!</v>
          </cell>
          <cell r="D955" t="e">
            <v>#REF!</v>
          </cell>
          <cell r="E955" t="e">
            <v>#REF!</v>
          </cell>
        </row>
        <row r="956">
          <cell r="A956" t="e">
            <v>#REF!</v>
          </cell>
          <cell r="B956" t="e">
            <v>#REF!</v>
          </cell>
          <cell r="C956" t="e">
            <v>#REF!</v>
          </cell>
          <cell r="D956" t="e">
            <v>#REF!</v>
          </cell>
          <cell r="E956" t="e">
            <v>#REF!</v>
          </cell>
        </row>
        <row r="957">
          <cell r="A957" t="e">
            <v>#REF!</v>
          </cell>
          <cell r="B957" t="e">
            <v>#REF!</v>
          </cell>
          <cell r="C957" t="e">
            <v>#REF!</v>
          </cell>
          <cell r="D957" t="e">
            <v>#REF!</v>
          </cell>
          <cell r="E957" t="e">
            <v>#REF!</v>
          </cell>
        </row>
        <row r="958">
          <cell r="A958" t="e">
            <v>#REF!</v>
          </cell>
          <cell r="B958" t="e">
            <v>#REF!</v>
          </cell>
          <cell r="C958" t="e">
            <v>#REF!</v>
          </cell>
          <cell r="D958" t="e">
            <v>#REF!</v>
          </cell>
          <cell r="E958" t="e">
            <v>#REF!</v>
          </cell>
        </row>
        <row r="959">
          <cell r="A959" t="e">
            <v>#REF!</v>
          </cell>
          <cell r="B959" t="e">
            <v>#REF!</v>
          </cell>
          <cell r="C959" t="e">
            <v>#REF!</v>
          </cell>
          <cell r="D959" t="e">
            <v>#REF!</v>
          </cell>
          <cell r="E959" t="e">
            <v>#REF!</v>
          </cell>
        </row>
        <row r="960">
          <cell r="A960" t="e">
            <v>#REF!</v>
          </cell>
          <cell r="B960" t="e">
            <v>#REF!</v>
          </cell>
          <cell r="C960" t="e">
            <v>#REF!</v>
          </cell>
          <cell r="D960" t="e">
            <v>#REF!</v>
          </cell>
          <cell r="E960" t="e">
            <v>#REF!</v>
          </cell>
        </row>
        <row r="961">
          <cell r="A961" t="e">
            <v>#REF!</v>
          </cell>
          <cell r="B961" t="e">
            <v>#REF!</v>
          </cell>
          <cell r="C961" t="e">
            <v>#REF!</v>
          </cell>
          <cell r="D961" t="e">
            <v>#REF!</v>
          </cell>
          <cell r="E961" t="e">
            <v>#REF!</v>
          </cell>
        </row>
        <row r="962">
          <cell r="A962" t="e">
            <v>#REF!</v>
          </cell>
          <cell r="B962" t="e">
            <v>#REF!</v>
          </cell>
          <cell r="C962" t="e">
            <v>#REF!</v>
          </cell>
          <cell r="D962" t="e">
            <v>#REF!</v>
          </cell>
          <cell r="E962" t="e">
            <v>#REF!</v>
          </cell>
        </row>
        <row r="963">
          <cell r="A963" t="e">
            <v>#REF!</v>
          </cell>
          <cell r="B963" t="e">
            <v>#REF!</v>
          </cell>
          <cell r="C963" t="e">
            <v>#REF!</v>
          </cell>
          <cell r="D963" t="e">
            <v>#REF!</v>
          </cell>
          <cell r="E963" t="e">
            <v>#REF!</v>
          </cell>
        </row>
        <row r="964">
          <cell r="A964" t="e">
            <v>#REF!</v>
          </cell>
          <cell r="B964" t="e">
            <v>#REF!</v>
          </cell>
          <cell r="C964" t="e">
            <v>#REF!</v>
          </cell>
          <cell r="D964" t="e">
            <v>#REF!</v>
          </cell>
          <cell r="E964" t="e">
            <v>#REF!</v>
          </cell>
        </row>
        <row r="965">
          <cell r="A965" t="e">
            <v>#REF!</v>
          </cell>
          <cell r="B965" t="e">
            <v>#REF!</v>
          </cell>
          <cell r="C965" t="e">
            <v>#REF!</v>
          </cell>
          <cell r="D965" t="e">
            <v>#REF!</v>
          </cell>
          <cell r="E965" t="e">
            <v>#REF!</v>
          </cell>
        </row>
        <row r="966">
          <cell r="A966" t="e">
            <v>#REF!</v>
          </cell>
          <cell r="B966" t="e">
            <v>#REF!</v>
          </cell>
          <cell r="C966" t="e">
            <v>#REF!</v>
          </cell>
          <cell r="D966" t="e">
            <v>#REF!</v>
          </cell>
          <cell r="E966" t="e">
            <v>#REF!</v>
          </cell>
        </row>
        <row r="967">
          <cell r="A967" t="e">
            <v>#REF!</v>
          </cell>
          <cell r="B967" t="e">
            <v>#REF!</v>
          </cell>
          <cell r="C967" t="e">
            <v>#REF!</v>
          </cell>
          <cell r="D967" t="e">
            <v>#REF!</v>
          </cell>
          <cell r="E967" t="e">
            <v>#REF!</v>
          </cell>
        </row>
        <row r="968">
          <cell r="A968" t="e">
            <v>#REF!</v>
          </cell>
          <cell r="B968" t="e">
            <v>#REF!</v>
          </cell>
          <cell r="C968" t="e">
            <v>#REF!</v>
          </cell>
          <cell r="D968" t="e">
            <v>#REF!</v>
          </cell>
          <cell r="E968" t="e">
            <v>#REF!</v>
          </cell>
        </row>
        <row r="969">
          <cell r="A969" t="e">
            <v>#REF!</v>
          </cell>
          <cell r="B969" t="e">
            <v>#REF!</v>
          </cell>
          <cell r="C969" t="e">
            <v>#REF!</v>
          </cell>
          <cell r="D969" t="e">
            <v>#REF!</v>
          </cell>
          <cell r="E969" t="e">
            <v>#REF!</v>
          </cell>
        </row>
        <row r="970">
          <cell r="A970" t="e">
            <v>#REF!</v>
          </cell>
          <cell r="B970" t="e">
            <v>#REF!</v>
          </cell>
          <cell r="C970" t="e">
            <v>#REF!</v>
          </cell>
          <cell r="D970" t="e">
            <v>#REF!</v>
          </cell>
          <cell r="E970" t="e">
            <v>#REF!</v>
          </cell>
        </row>
        <row r="971">
          <cell r="A971" t="e">
            <v>#REF!</v>
          </cell>
          <cell r="B971" t="e">
            <v>#REF!</v>
          </cell>
          <cell r="C971" t="e">
            <v>#REF!</v>
          </cell>
          <cell r="D971" t="e">
            <v>#REF!</v>
          </cell>
          <cell r="E971" t="e">
            <v>#REF!</v>
          </cell>
        </row>
        <row r="972">
          <cell r="A972" t="e">
            <v>#REF!</v>
          </cell>
          <cell r="B972" t="e">
            <v>#REF!</v>
          </cell>
          <cell r="C972" t="e">
            <v>#REF!</v>
          </cell>
          <cell r="D972" t="e">
            <v>#REF!</v>
          </cell>
          <cell r="E972" t="e">
            <v>#REF!</v>
          </cell>
        </row>
        <row r="973">
          <cell r="A973" t="e">
            <v>#REF!</v>
          </cell>
          <cell r="B973" t="e">
            <v>#REF!</v>
          </cell>
          <cell r="C973" t="e">
            <v>#REF!</v>
          </cell>
          <cell r="D973" t="e">
            <v>#REF!</v>
          </cell>
          <cell r="E973" t="e">
            <v>#REF!</v>
          </cell>
        </row>
        <row r="974">
          <cell r="A974" t="e">
            <v>#REF!</v>
          </cell>
          <cell r="B974" t="e">
            <v>#REF!</v>
          </cell>
          <cell r="C974" t="e">
            <v>#REF!</v>
          </cell>
          <cell r="D974" t="e">
            <v>#REF!</v>
          </cell>
          <cell r="E974" t="e">
            <v>#REF!</v>
          </cell>
        </row>
        <row r="975">
          <cell r="A975" t="e">
            <v>#REF!</v>
          </cell>
          <cell r="B975" t="e">
            <v>#REF!</v>
          </cell>
          <cell r="C975" t="e">
            <v>#REF!</v>
          </cell>
          <cell r="D975" t="e">
            <v>#REF!</v>
          </cell>
          <cell r="E975" t="e">
            <v>#REF!</v>
          </cell>
        </row>
        <row r="976">
          <cell r="A976" t="e">
            <v>#REF!</v>
          </cell>
          <cell r="B976" t="e">
            <v>#REF!</v>
          </cell>
          <cell r="C976" t="e">
            <v>#REF!</v>
          </cell>
          <cell r="D976" t="e">
            <v>#REF!</v>
          </cell>
          <cell r="E976" t="e">
            <v>#REF!</v>
          </cell>
        </row>
        <row r="977">
          <cell r="A977" t="e">
            <v>#REF!</v>
          </cell>
          <cell r="B977" t="e">
            <v>#REF!</v>
          </cell>
          <cell r="C977" t="e">
            <v>#REF!</v>
          </cell>
          <cell r="D977" t="e">
            <v>#REF!</v>
          </cell>
          <cell r="E977" t="e">
            <v>#REF!</v>
          </cell>
        </row>
        <row r="978">
          <cell r="A978" t="e">
            <v>#REF!</v>
          </cell>
          <cell r="B978" t="e">
            <v>#REF!</v>
          </cell>
          <cell r="C978" t="e">
            <v>#REF!</v>
          </cell>
          <cell r="D978" t="e">
            <v>#REF!</v>
          </cell>
          <cell r="E978" t="e">
            <v>#REF!</v>
          </cell>
        </row>
        <row r="979">
          <cell r="A979" t="e">
            <v>#REF!</v>
          </cell>
          <cell r="B979" t="e">
            <v>#REF!</v>
          </cell>
          <cell r="C979" t="e">
            <v>#REF!</v>
          </cell>
          <cell r="D979" t="e">
            <v>#REF!</v>
          </cell>
          <cell r="E979" t="e">
            <v>#REF!</v>
          </cell>
        </row>
        <row r="980">
          <cell r="A980" t="e">
            <v>#REF!</v>
          </cell>
          <cell r="B980" t="e">
            <v>#REF!</v>
          </cell>
          <cell r="C980" t="e">
            <v>#REF!</v>
          </cell>
          <cell r="D980" t="e">
            <v>#REF!</v>
          </cell>
          <cell r="E980" t="e">
            <v>#REF!</v>
          </cell>
        </row>
        <row r="981">
          <cell r="A981" t="e">
            <v>#REF!</v>
          </cell>
          <cell r="B981" t="e">
            <v>#REF!</v>
          </cell>
          <cell r="C981" t="e">
            <v>#REF!</v>
          </cell>
          <cell r="D981" t="e">
            <v>#REF!</v>
          </cell>
          <cell r="E981" t="e">
            <v>#REF!</v>
          </cell>
        </row>
        <row r="982">
          <cell r="A982" t="e">
            <v>#REF!</v>
          </cell>
          <cell r="B982" t="e">
            <v>#REF!</v>
          </cell>
          <cell r="C982" t="e">
            <v>#REF!</v>
          </cell>
          <cell r="D982" t="e">
            <v>#REF!</v>
          </cell>
          <cell r="E982" t="e">
            <v>#REF!</v>
          </cell>
        </row>
        <row r="983">
          <cell r="A983" t="e">
            <v>#REF!</v>
          </cell>
          <cell r="B983" t="e">
            <v>#REF!</v>
          </cell>
          <cell r="C983" t="e">
            <v>#REF!</v>
          </cell>
          <cell r="D983" t="e">
            <v>#REF!</v>
          </cell>
          <cell r="E983" t="e">
            <v>#REF!</v>
          </cell>
        </row>
        <row r="984">
          <cell r="A984" t="e">
            <v>#REF!</v>
          </cell>
          <cell r="B984" t="e">
            <v>#REF!</v>
          </cell>
          <cell r="C984" t="e">
            <v>#REF!</v>
          </cell>
          <cell r="D984" t="e">
            <v>#REF!</v>
          </cell>
          <cell r="E984" t="e">
            <v>#REF!</v>
          </cell>
        </row>
        <row r="985">
          <cell r="A985" t="e">
            <v>#REF!</v>
          </cell>
          <cell r="B985" t="e">
            <v>#REF!</v>
          </cell>
          <cell r="C985" t="e">
            <v>#REF!</v>
          </cell>
          <cell r="D985" t="e">
            <v>#REF!</v>
          </cell>
          <cell r="E985" t="e">
            <v>#REF!</v>
          </cell>
        </row>
        <row r="986">
          <cell r="A986" t="e">
            <v>#REF!</v>
          </cell>
          <cell r="B986" t="e">
            <v>#REF!</v>
          </cell>
          <cell r="C986" t="e">
            <v>#REF!</v>
          </cell>
          <cell r="D986" t="e">
            <v>#REF!</v>
          </cell>
          <cell r="E986" t="e">
            <v>#REF!</v>
          </cell>
        </row>
        <row r="987">
          <cell r="A987" t="e">
            <v>#REF!</v>
          </cell>
          <cell r="B987" t="e">
            <v>#REF!</v>
          </cell>
          <cell r="C987" t="e">
            <v>#REF!</v>
          </cell>
          <cell r="D987" t="e">
            <v>#REF!</v>
          </cell>
          <cell r="E987" t="e">
            <v>#REF!</v>
          </cell>
        </row>
        <row r="988">
          <cell r="A988" t="e">
            <v>#REF!</v>
          </cell>
          <cell r="B988" t="e">
            <v>#REF!</v>
          </cell>
          <cell r="C988" t="e">
            <v>#REF!</v>
          </cell>
          <cell r="D988" t="e">
            <v>#REF!</v>
          </cell>
          <cell r="E988" t="e">
            <v>#REF!</v>
          </cell>
        </row>
        <row r="989">
          <cell r="A989" t="e">
            <v>#REF!</v>
          </cell>
          <cell r="B989" t="e">
            <v>#REF!</v>
          </cell>
          <cell r="C989" t="e">
            <v>#REF!</v>
          </cell>
          <cell r="D989" t="e">
            <v>#REF!</v>
          </cell>
          <cell r="E989" t="e">
            <v>#REF!</v>
          </cell>
        </row>
        <row r="990">
          <cell r="A990" t="e">
            <v>#REF!</v>
          </cell>
          <cell r="B990" t="e">
            <v>#REF!</v>
          </cell>
          <cell r="C990" t="e">
            <v>#REF!</v>
          </cell>
          <cell r="D990" t="e">
            <v>#REF!</v>
          </cell>
          <cell r="E990" t="e">
            <v>#REF!</v>
          </cell>
        </row>
        <row r="991">
          <cell r="A991" t="e">
            <v>#REF!</v>
          </cell>
          <cell r="B991" t="e">
            <v>#REF!</v>
          </cell>
          <cell r="C991" t="e">
            <v>#REF!</v>
          </cell>
          <cell r="D991" t="e">
            <v>#REF!</v>
          </cell>
          <cell r="E991" t="e">
            <v>#REF!</v>
          </cell>
        </row>
        <row r="992">
          <cell r="A992" t="e">
            <v>#REF!</v>
          </cell>
          <cell r="B992" t="e">
            <v>#REF!</v>
          </cell>
          <cell r="C992" t="e">
            <v>#REF!</v>
          </cell>
          <cell r="D992" t="e">
            <v>#REF!</v>
          </cell>
          <cell r="E992" t="e">
            <v>#REF!</v>
          </cell>
        </row>
        <row r="993">
          <cell r="A993" t="e">
            <v>#REF!</v>
          </cell>
          <cell r="B993" t="e">
            <v>#REF!</v>
          </cell>
          <cell r="C993" t="e">
            <v>#REF!</v>
          </cell>
          <cell r="D993" t="e">
            <v>#REF!</v>
          </cell>
          <cell r="E993" t="e">
            <v>#REF!</v>
          </cell>
        </row>
        <row r="994">
          <cell r="A994" t="e">
            <v>#REF!</v>
          </cell>
          <cell r="B994" t="e">
            <v>#REF!</v>
          </cell>
          <cell r="C994" t="e">
            <v>#REF!</v>
          </cell>
          <cell r="D994" t="e">
            <v>#REF!</v>
          </cell>
          <cell r="E994" t="e">
            <v>#REF!</v>
          </cell>
        </row>
        <row r="995">
          <cell r="A995" t="e">
            <v>#REF!</v>
          </cell>
          <cell r="B995" t="e">
            <v>#REF!</v>
          </cell>
          <cell r="C995" t="e">
            <v>#REF!</v>
          </cell>
          <cell r="D995" t="e">
            <v>#REF!</v>
          </cell>
          <cell r="E995" t="e">
            <v>#REF!</v>
          </cell>
        </row>
        <row r="996">
          <cell r="A996" t="e">
            <v>#REF!</v>
          </cell>
          <cell r="B996" t="e">
            <v>#REF!</v>
          </cell>
          <cell r="C996" t="e">
            <v>#REF!</v>
          </cell>
          <cell r="D996" t="e">
            <v>#REF!</v>
          </cell>
          <cell r="E996" t="e">
            <v>#REF!</v>
          </cell>
        </row>
        <row r="997">
          <cell r="A997" t="e">
            <v>#REF!</v>
          </cell>
          <cell r="B997" t="e">
            <v>#REF!</v>
          </cell>
          <cell r="C997" t="e">
            <v>#REF!</v>
          </cell>
          <cell r="D997" t="e">
            <v>#REF!</v>
          </cell>
          <cell r="E997" t="e">
            <v>#REF!</v>
          </cell>
        </row>
        <row r="998">
          <cell r="A998" t="e">
            <v>#REF!</v>
          </cell>
          <cell r="B998" t="e">
            <v>#REF!</v>
          </cell>
          <cell r="C998" t="e">
            <v>#REF!</v>
          </cell>
          <cell r="D998" t="e">
            <v>#REF!</v>
          </cell>
          <cell r="E998" t="e">
            <v>#REF!</v>
          </cell>
        </row>
        <row r="999">
          <cell r="A999" t="e">
            <v>#REF!</v>
          </cell>
          <cell r="B999" t="e">
            <v>#REF!</v>
          </cell>
          <cell r="C999" t="e">
            <v>#REF!</v>
          </cell>
          <cell r="D999" t="e">
            <v>#REF!</v>
          </cell>
          <cell r="E999" t="e">
            <v>#REF!</v>
          </cell>
        </row>
        <row r="1000">
          <cell r="A1000" t="e">
            <v>#REF!</v>
          </cell>
          <cell r="B1000" t="e">
            <v>#REF!</v>
          </cell>
          <cell r="C1000" t="e">
            <v>#REF!</v>
          </cell>
          <cell r="D1000" t="e">
            <v>#REF!</v>
          </cell>
          <cell r="E1000" t="e">
            <v>#REF!</v>
          </cell>
        </row>
        <row r="1001">
          <cell r="A1001" t="e">
            <v>#REF!</v>
          </cell>
          <cell r="B1001" t="e">
            <v>#REF!</v>
          </cell>
          <cell r="C1001" t="e">
            <v>#REF!</v>
          </cell>
          <cell r="D1001" t="e">
            <v>#REF!</v>
          </cell>
          <cell r="E1001" t="e">
            <v>#REF!</v>
          </cell>
        </row>
        <row r="1002">
          <cell r="A1002" t="e">
            <v>#REF!</v>
          </cell>
          <cell r="B1002" t="e">
            <v>#REF!</v>
          </cell>
          <cell r="C1002" t="e">
            <v>#REF!</v>
          </cell>
          <cell r="D1002" t="e">
            <v>#REF!</v>
          </cell>
          <cell r="E1002" t="e">
            <v>#REF!</v>
          </cell>
        </row>
        <row r="1003">
          <cell r="A1003" t="e">
            <v>#REF!</v>
          </cell>
          <cell r="B1003" t="e">
            <v>#REF!</v>
          </cell>
          <cell r="C1003" t="e">
            <v>#REF!</v>
          </cell>
          <cell r="D1003" t="e">
            <v>#REF!</v>
          </cell>
          <cell r="E1003" t="e">
            <v>#REF!</v>
          </cell>
        </row>
        <row r="1004">
          <cell r="A1004" t="e">
            <v>#REF!</v>
          </cell>
          <cell r="B1004" t="e">
            <v>#REF!</v>
          </cell>
          <cell r="C1004" t="e">
            <v>#REF!</v>
          </cell>
          <cell r="D1004" t="e">
            <v>#REF!</v>
          </cell>
          <cell r="E1004" t="e">
            <v>#REF!</v>
          </cell>
        </row>
        <row r="1005">
          <cell r="A1005" t="e">
            <v>#REF!</v>
          </cell>
          <cell r="B1005" t="e">
            <v>#REF!</v>
          </cell>
          <cell r="C1005" t="e">
            <v>#REF!</v>
          </cell>
          <cell r="D1005" t="e">
            <v>#REF!</v>
          </cell>
          <cell r="E1005" t="e">
            <v>#REF!</v>
          </cell>
        </row>
        <row r="1006">
          <cell r="A1006" t="e">
            <v>#REF!</v>
          </cell>
          <cell r="B1006" t="e">
            <v>#REF!</v>
          </cell>
          <cell r="C1006" t="e">
            <v>#REF!</v>
          </cell>
          <cell r="D1006" t="e">
            <v>#REF!</v>
          </cell>
          <cell r="E1006" t="e">
            <v>#REF!</v>
          </cell>
        </row>
        <row r="1007">
          <cell r="A1007" t="e">
            <v>#REF!</v>
          </cell>
          <cell r="B1007" t="e">
            <v>#REF!</v>
          </cell>
          <cell r="C1007" t="e">
            <v>#REF!</v>
          </cell>
          <cell r="D1007" t="e">
            <v>#REF!</v>
          </cell>
          <cell r="E1007" t="e">
            <v>#REF!</v>
          </cell>
        </row>
        <row r="1008">
          <cell r="A1008" t="e">
            <v>#REF!</v>
          </cell>
          <cell r="B1008" t="e">
            <v>#REF!</v>
          </cell>
          <cell r="C1008" t="e">
            <v>#REF!</v>
          </cell>
          <cell r="D1008" t="e">
            <v>#REF!</v>
          </cell>
          <cell r="E1008" t="e">
            <v>#REF!</v>
          </cell>
        </row>
        <row r="1009">
          <cell r="A1009" t="e">
            <v>#REF!</v>
          </cell>
          <cell r="B1009" t="e">
            <v>#REF!</v>
          </cell>
          <cell r="C1009" t="e">
            <v>#REF!</v>
          </cell>
          <cell r="D1009" t="e">
            <v>#REF!</v>
          </cell>
          <cell r="E1009" t="e">
            <v>#REF!</v>
          </cell>
        </row>
        <row r="1010">
          <cell r="A1010" t="e">
            <v>#REF!</v>
          </cell>
          <cell r="B1010" t="e">
            <v>#REF!</v>
          </cell>
          <cell r="C1010" t="e">
            <v>#REF!</v>
          </cell>
          <cell r="D1010" t="e">
            <v>#REF!</v>
          </cell>
          <cell r="E1010" t="e">
            <v>#REF!</v>
          </cell>
        </row>
        <row r="1011">
          <cell r="A1011" t="e">
            <v>#REF!</v>
          </cell>
          <cell r="B1011" t="e">
            <v>#REF!</v>
          </cell>
          <cell r="C1011" t="e">
            <v>#REF!</v>
          </cell>
          <cell r="D1011" t="e">
            <v>#REF!</v>
          </cell>
          <cell r="E1011" t="e">
            <v>#REF!</v>
          </cell>
        </row>
        <row r="1012">
          <cell r="A1012" t="e">
            <v>#REF!</v>
          </cell>
          <cell r="B1012" t="e">
            <v>#REF!</v>
          </cell>
          <cell r="C1012" t="e">
            <v>#REF!</v>
          </cell>
          <cell r="D1012" t="e">
            <v>#REF!</v>
          </cell>
          <cell r="E1012" t="e">
            <v>#REF!</v>
          </cell>
        </row>
        <row r="1013">
          <cell r="A1013" t="e">
            <v>#REF!</v>
          </cell>
          <cell r="B1013" t="e">
            <v>#REF!</v>
          </cell>
          <cell r="C1013" t="e">
            <v>#REF!</v>
          </cell>
          <cell r="D1013" t="e">
            <v>#REF!</v>
          </cell>
          <cell r="E1013" t="e">
            <v>#REF!</v>
          </cell>
        </row>
        <row r="1014">
          <cell r="A1014" t="e">
            <v>#REF!</v>
          </cell>
          <cell r="B1014" t="e">
            <v>#REF!</v>
          </cell>
          <cell r="C1014" t="e">
            <v>#REF!</v>
          </cell>
          <cell r="D1014" t="e">
            <v>#REF!</v>
          </cell>
          <cell r="E1014" t="e">
            <v>#REF!</v>
          </cell>
        </row>
        <row r="1015">
          <cell r="A1015" t="e">
            <v>#REF!</v>
          </cell>
          <cell r="B1015" t="e">
            <v>#REF!</v>
          </cell>
          <cell r="C1015" t="e">
            <v>#REF!</v>
          </cell>
          <cell r="D1015" t="e">
            <v>#REF!</v>
          </cell>
          <cell r="E1015" t="e">
            <v>#REF!</v>
          </cell>
        </row>
        <row r="1016">
          <cell r="A1016" t="e">
            <v>#REF!</v>
          </cell>
          <cell r="B1016" t="e">
            <v>#REF!</v>
          </cell>
          <cell r="C1016" t="e">
            <v>#REF!</v>
          </cell>
          <cell r="D1016" t="e">
            <v>#REF!</v>
          </cell>
          <cell r="E1016" t="e">
            <v>#REF!</v>
          </cell>
        </row>
        <row r="1017">
          <cell r="A1017" t="e">
            <v>#REF!</v>
          </cell>
          <cell r="B1017" t="e">
            <v>#REF!</v>
          </cell>
          <cell r="C1017" t="e">
            <v>#REF!</v>
          </cell>
          <cell r="D1017" t="e">
            <v>#REF!</v>
          </cell>
          <cell r="E1017" t="e">
            <v>#REF!</v>
          </cell>
        </row>
        <row r="1018">
          <cell r="A1018" t="e">
            <v>#REF!</v>
          </cell>
          <cell r="B1018" t="e">
            <v>#REF!</v>
          </cell>
          <cell r="C1018" t="e">
            <v>#REF!</v>
          </cell>
          <cell r="D1018" t="e">
            <v>#REF!</v>
          </cell>
          <cell r="E1018" t="e">
            <v>#REF!</v>
          </cell>
        </row>
        <row r="1019">
          <cell r="A1019" t="e">
            <v>#REF!</v>
          </cell>
          <cell r="B1019" t="e">
            <v>#REF!</v>
          </cell>
          <cell r="C1019" t="e">
            <v>#REF!</v>
          </cell>
          <cell r="D1019" t="e">
            <v>#REF!</v>
          </cell>
          <cell r="E1019" t="e">
            <v>#REF!</v>
          </cell>
        </row>
        <row r="1020">
          <cell r="A1020" t="e">
            <v>#REF!</v>
          </cell>
          <cell r="B1020" t="e">
            <v>#REF!</v>
          </cell>
          <cell r="C1020" t="e">
            <v>#REF!</v>
          </cell>
          <cell r="D1020" t="e">
            <v>#REF!</v>
          </cell>
          <cell r="E1020" t="e">
            <v>#REF!</v>
          </cell>
        </row>
        <row r="1021">
          <cell r="A1021" t="e">
            <v>#REF!</v>
          </cell>
          <cell r="B1021" t="e">
            <v>#REF!</v>
          </cell>
          <cell r="C1021" t="e">
            <v>#REF!</v>
          </cell>
          <cell r="D1021" t="e">
            <v>#REF!</v>
          </cell>
          <cell r="E1021" t="e">
            <v>#REF!</v>
          </cell>
        </row>
        <row r="1022">
          <cell r="A1022" t="e">
            <v>#REF!</v>
          </cell>
          <cell r="B1022" t="e">
            <v>#REF!</v>
          </cell>
          <cell r="C1022" t="e">
            <v>#REF!</v>
          </cell>
          <cell r="D1022" t="e">
            <v>#REF!</v>
          </cell>
          <cell r="E1022" t="e">
            <v>#REF!</v>
          </cell>
        </row>
        <row r="1023">
          <cell r="A1023" t="e">
            <v>#REF!</v>
          </cell>
          <cell r="B1023" t="e">
            <v>#REF!</v>
          </cell>
          <cell r="C1023" t="e">
            <v>#REF!</v>
          </cell>
          <cell r="D1023" t="e">
            <v>#REF!</v>
          </cell>
          <cell r="E1023" t="e">
            <v>#REF!</v>
          </cell>
        </row>
        <row r="1024">
          <cell r="A1024" t="e">
            <v>#REF!</v>
          </cell>
          <cell r="B1024" t="e">
            <v>#REF!</v>
          </cell>
          <cell r="C1024" t="e">
            <v>#REF!</v>
          </cell>
          <cell r="D1024" t="e">
            <v>#REF!</v>
          </cell>
          <cell r="E1024" t="e">
            <v>#REF!</v>
          </cell>
        </row>
        <row r="1025">
          <cell r="A1025" t="e">
            <v>#REF!</v>
          </cell>
          <cell r="B1025" t="e">
            <v>#REF!</v>
          </cell>
          <cell r="C1025" t="e">
            <v>#REF!</v>
          </cell>
          <cell r="D1025" t="e">
            <v>#REF!</v>
          </cell>
          <cell r="E1025" t="e">
            <v>#REF!</v>
          </cell>
        </row>
        <row r="1026">
          <cell r="A1026" t="e">
            <v>#REF!</v>
          </cell>
          <cell r="B1026" t="e">
            <v>#REF!</v>
          </cell>
          <cell r="C1026" t="e">
            <v>#REF!</v>
          </cell>
          <cell r="D1026" t="e">
            <v>#REF!</v>
          </cell>
          <cell r="E1026" t="e">
            <v>#REF!</v>
          </cell>
        </row>
        <row r="1027">
          <cell r="A1027" t="e">
            <v>#REF!</v>
          </cell>
          <cell r="B1027" t="e">
            <v>#REF!</v>
          </cell>
          <cell r="C1027" t="e">
            <v>#REF!</v>
          </cell>
          <cell r="D1027" t="e">
            <v>#REF!</v>
          </cell>
          <cell r="E1027" t="e">
            <v>#REF!</v>
          </cell>
        </row>
        <row r="1028">
          <cell r="A1028" t="e">
            <v>#REF!</v>
          </cell>
          <cell r="B1028" t="e">
            <v>#REF!</v>
          </cell>
          <cell r="C1028" t="e">
            <v>#REF!</v>
          </cell>
          <cell r="D1028" t="e">
            <v>#REF!</v>
          </cell>
          <cell r="E1028" t="e">
            <v>#REF!</v>
          </cell>
        </row>
        <row r="1029">
          <cell r="A1029" t="e">
            <v>#REF!</v>
          </cell>
          <cell r="B1029" t="e">
            <v>#REF!</v>
          </cell>
          <cell r="C1029" t="e">
            <v>#REF!</v>
          </cell>
          <cell r="D1029" t="e">
            <v>#REF!</v>
          </cell>
          <cell r="E1029" t="e">
            <v>#REF!</v>
          </cell>
        </row>
        <row r="1030">
          <cell r="A1030" t="e">
            <v>#REF!</v>
          </cell>
          <cell r="B1030" t="e">
            <v>#REF!</v>
          </cell>
          <cell r="C1030" t="e">
            <v>#REF!</v>
          </cell>
          <cell r="D1030" t="e">
            <v>#REF!</v>
          </cell>
          <cell r="E1030" t="e">
            <v>#REF!</v>
          </cell>
        </row>
        <row r="1031">
          <cell r="A1031" t="e">
            <v>#REF!</v>
          </cell>
          <cell r="B1031" t="e">
            <v>#REF!</v>
          </cell>
          <cell r="C1031" t="e">
            <v>#REF!</v>
          </cell>
          <cell r="D1031" t="e">
            <v>#REF!</v>
          </cell>
          <cell r="E1031" t="e">
            <v>#REF!</v>
          </cell>
        </row>
        <row r="1032">
          <cell r="A1032" t="e">
            <v>#REF!</v>
          </cell>
          <cell r="B1032" t="e">
            <v>#REF!</v>
          </cell>
          <cell r="C1032" t="e">
            <v>#REF!</v>
          </cell>
          <cell r="D1032" t="e">
            <v>#REF!</v>
          </cell>
          <cell r="E1032" t="e">
            <v>#REF!</v>
          </cell>
        </row>
        <row r="1033">
          <cell r="A1033" t="e">
            <v>#REF!</v>
          </cell>
          <cell r="B1033" t="e">
            <v>#REF!</v>
          </cell>
          <cell r="C1033" t="e">
            <v>#REF!</v>
          </cell>
          <cell r="D1033" t="e">
            <v>#REF!</v>
          </cell>
          <cell r="E1033" t="e">
            <v>#REF!</v>
          </cell>
        </row>
        <row r="1034">
          <cell r="A1034" t="e">
            <v>#REF!</v>
          </cell>
          <cell r="B1034" t="e">
            <v>#REF!</v>
          </cell>
          <cell r="C1034" t="e">
            <v>#REF!</v>
          </cell>
          <cell r="D1034" t="e">
            <v>#REF!</v>
          </cell>
          <cell r="E1034" t="e">
            <v>#REF!</v>
          </cell>
        </row>
        <row r="1035">
          <cell r="A1035" t="e">
            <v>#REF!</v>
          </cell>
          <cell r="B1035" t="e">
            <v>#REF!</v>
          </cell>
          <cell r="C1035" t="e">
            <v>#REF!</v>
          </cell>
          <cell r="D1035" t="e">
            <v>#REF!</v>
          </cell>
          <cell r="E1035" t="e">
            <v>#REF!</v>
          </cell>
        </row>
        <row r="1036">
          <cell r="A1036" t="e">
            <v>#REF!</v>
          </cell>
          <cell r="B1036" t="e">
            <v>#REF!</v>
          </cell>
          <cell r="C1036" t="e">
            <v>#REF!</v>
          </cell>
          <cell r="D1036" t="e">
            <v>#REF!</v>
          </cell>
          <cell r="E1036" t="e">
            <v>#REF!</v>
          </cell>
        </row>
        <row r="1037">
          <cell r="A1037" t="e">
            <v>#REF!</v>
          </cell>
          <cell r="B1037" t="e">
            <v>#REF!</v>
          </cell>
          <cell r="C1037" t="e">
            <v>#REF!</v>
          </cell>
          <cell r="D1037" t="e">
            <v>#REF!</v>
          </cell>
          <cell r="E1037" t="e">
            <v>#REF!</v>
          </cell>
        </row>
        <row r="1038">
          <cell r="A1038" t="e">
            <v>#REF!</v>
          </cell>
          <cell r="B1038" t="e">
            <v>#REF!</v>
          </cell>
          <cell r="C1038" t="e">
            <v>#REF!</v>
          </cell>
          <cell r="D1038" t="e">
            <v>#REF!</v>
          </cell>
          <cell r="E1038" t="e">
            <v>#REF!</v>
          </cell>
        </row>
        <row r="1039">
          <cell r="A1039" t="e">
            <v>#REF!</v>
          </cell>
          <cell r="B1039" t="e">
            <v>#REF!</v>
          </cell>
          <cell r="C1039" t="e">
            <v>#REF!</v>
          </cell>
          <cell r="D1039" t="e">
            <v>#REF!</v>
          </cell>
          <cell r="E1039" t="e">
            <v>#REF!</v>
          </cell>
        </row>
        <row r="1040">
          <cell r="A1040" t="e">
            <v>#REF!</v>
          </cell>
          <cell r="B1040" t="e">
            <v>#REF!</v>
          </cell>
          <cell r="C1040" t="e">
            <v>#REF!</v>
          </cell>
          <cell r="D1040" t="e">
            <v>#REF!</v>
          </cell>
          <cell r="E1040" t="e">
            <v>#REF!</v>
          </cell>
        </row>
        <row r="1041">
          <cell r="A1041" t="e">
            <v>#REF!</v>
          </cell>
          <cell r="B1041" t="e">
            <v>#REF!</v>
          </cell>
          <cell r="C1041" t="e">
            <v>#REF!</v>
          </cell>
          <cell r="D1041" t="e">
            <v>#REF!</v>
          </cell>
          <cell r="E1041" t="e">
            <v>#REF!</v>
          </cell>
        </row>
        <row r="1042">
          <cell r="A1042" t="e">
            <v>#REF!</v>
          </cell>
          <cell r="B1042" t="e">
            <v>#REF!</v>
          </cell>
          <cell r="C1042" t="e">
            <v>#REF!</v>
          </cell>
          <cell r="D1042" t="e">
            <v>#REF!</v>
          </cell>
          <cell r="E1042" t="e">
            <v>#REF!</v>
          </cell>
        </row>
        <row r="1043">
          <cell r="A1043" t="e">
            <v>#REF!</v>
          </cell>
          <cell r="B1043" t="e">
            <v>#REF!</v>
          </cell>
          <cell r="C1043" t="e">
            <v>#REF!</v>
          </cell>
          <cell r="D1043" t="e">
            <v>#REF!</v>
          </cell>
          <cell r="E1043" t="e">
            <v>#REF!</v>
          </cell>
        </row>
        <row r="1044">
          <cell r="A1044" t="e">
            <v>#REF!</v>
          </cell>
          <cell r="B1044" t="e">
            <v>#REF!</v>
          </cell>
          <cell r="C1044" t="e">
            <v>#REF!</v>
          </cell>
          <cell r="D1044" t="e">
            <v>#REF!</v>
          </cell>
          <cell r="E1044" t="e">
            <v>#REF!</v>
          </cell>
        </row>
        <row r="1045">
          <cell r="A1045" t="e">
            <v>#REF!</v>
          </cell>
          <cell r="B1045" t="e">
            <v>#REF!</v>
          </cell>
          <cell r="C1045" t="e">
            <v>#REF!</v>
          </cell>
          <cell r="D1045" t="e">
            <v>#REF!</v>
          </cell>
          <cell r="E1045" t="e">
            <v>#REF!</v>
          </cell>
        </row>
        <row r="1046">
          <cell r="A1046" t="e">
            <v>#REF!</v>
          </cell>
          <cell r="B1046" t="e">
            <v>#REF!</v>
          </cell>
          <cell r="C1046" t="e">
            <v>#REF!</v>
          </cell>
          <cell r="D1046" t="e">
            <v>#REF!</v>
          </cell>
          <cell r="E1046" t="e">
            <v>#REF!</v>
          </cell>
        </row>
        <row r="1047">
          <cell r="A1047" t="e">
            <v>#REF!</v>
          </cell>
          <cell r="B1047" t="e">
            <v>#REF!</v>
          </cell>
          <cell r="C1047" t="e">
            <v>#REF!</v>
          </cell>
          <cell r="D1047" t="e">
            <v>#REF!</v>
          </cell>
          <cell r="E1047" t="e">
            <v>#REF!</v>
          </cell>
        </row>
        <row r="1048">
          <cell r="A1048" t="e">
            <v>#REF!</v>
          </cell>
          <cell r="B1048" t="e">
            <v>#REF!</v>
          </cell>
          <cell r="C1048" t="e">
            <v>#REF!</v>
          </cell>
          <cell r="D1048" t="e">
            <v>#REF!</v>
          </cell>
          <cell r="E1048" t="e">
            <v>#REF!</v>
          </cell>
        </row>
        <row r="1049">
          <cell r="A1049" t="e">
            <v>#REF!</v>
          </cell>
          <cell r="B1049" t="e">
            <v>#REF!</v>
          </cell>
          <cell r="C1049" t="e">
            <v>#REF!</v>
          </cell>
          <cell r="D1049" t="e">
            <v>#REF!</v>
          </cell>
          <cell r="E1049" t="e">
            <v>#REF!</v>
          </cell>
        </row>
        <row r="1050">
          <cell r="A1050" t="e">
            <v>#REF!</v>
          </cell>
          <cell r="B1050" t="e">
            <v>#REF!</v>
          </cell>
          <cell r="C1050" t="e">
            <v>#REF!</v>
          </cell>
          <cell r="D1050" t="e">
            <v>#REF!</v>
          </cell>
          <cell r="E1050" t="e">
            <v>#REF!</v>
          </cell>
        </row>
        <row r="1051">
          <cell r="A1051" t="e">
            <v>#REF!</v>
          </cell>
          <cell r="B1051" t="e">
            <v>#REF!</v>
          </cell>
          <cell r="C1051" t="e">
            <v>#REF!</v>
          </cell>
          <cell r="D1051" t="e">
            <v>#REF!</v>
          </cell>
          <cell r="E1051" t="e">
            <v>#REF!</v>
          </cell>
        </row>
        <row r="1052">
          <cell r="A1052" t="e">
            <v>#REF!</v>
          </cell>
          <cell r="B1052" t="e">
            <v>#REF!</v>
          </cell>
          <cell r="C1052" t="e">
            <v>#REF!</v>
          </cell>
          <cell r="D1052" t="e">
            <v>#REF!</v>
          </cell>
          <cell r="E1052" t="e">
            <v>#REF!</v>
          </cell>
        </row>
        <row r="1053">
          <cell r="A1053" t="e">
            <v>#REF!</v>
          </cell>
          <cell r="B1053" t="e">
            <v>#REF!</v>
          </cell>
          <cell r="C1053" t="e">
            <v>#REF!</v>
          </cell>
          <cell r="D1053" t="e">
            <v>#REF!</v>
          </cell>
          <cell r="E1053" t="e">
            <v>#REF!</v>
          </cell>
        </row>
        <row r="1054">
          <cell r="A1054" t="e">
            <v>#REF!</v>
          </cell>
          <cell r="B1054" t="e">
            <v>#REF!</v>
          </cell>
          <cell r="C1054" t="e">
            <v>#REF!</v>
          </cell>
          <cell r="D1054" t="e">
            <v>#REF!</v>
          </cell>
          <cell r="E1054" t="e">
            <v>#REF!</v>
          </cell>
        </row>
        <row r="1055">
          <cell r="A1055" t="e">
            <v>#REF!</v>
          </cell>
          <cell r="B1055" t="e">
            <v>#REF!</v>
          </cell>
          <cell r="C1055" t="e">
            <v>#REF!</v>
          </cell>
          <cell r="D1055" t="e">
            <v>#REF!</v>
          </cell>
          <cell r="E1055" t="e">
            <v>#REF!</v>
          </cell>
        </row>
        <row r="1056">
          <cell r="A1056" t="e">
            <v>#REF!</v>
          </cell>
          <cell r="B1056" t="e">
            <v>#REF!</v>
          </cell>
          <cell r="C1056" t="e">
            <v>#REF!</v>
          </cell>
          <cell r="D1056" t="e">
            <v>#REF!</v>
          </cell>
          <cell r="E1056" t="e">
            <v>#REF!</v>
          </cell>
        </row>
        <row r="1057">
          <cell r="A1057" t="e">
            <v>#REF!</v>
          </cell>
          <cell r="B1057" t="e">
            <v>#REF!</v>
          </cell>
          <cell r="C1057" t="e">
            <v>#REF!</v>
          </cell>
          <cell r="D1057" t="e">
            <v>#REF!</v>
          </cell>
          <cell r="E1057" t="e">
            <v>#REF!</v>
          </cell>
        </row>
        <row r="1058">
          <cell r="A1058" t="e">
            <v>#REF!</v>
          </cell>
          <cell r="B1058" t="e">
            <v>#REF!</v>
          </cell>
          <cell r="C1058" t="e">
            <v>#REF!</v>
          </cell>
          <cell r="D1058" t="e">
            <v>#REF!</v>
          </cell>
          <cell r="E1058" t="e">
            <v>#REF!</v>
          </cell>
        </row>
        <row r="1059">
          <cell r="A1059" t="e">
            <v>#REF!</v>
          </cell>
          <cell r="B1059" t="e">
            <v>#REF!</v>
          </cell>
          <cell r="C1059" t="e">
            <v>#REF!</v>
          </cell>
          <cell r="D1059" t="e">
            <v>#REF!</v>
          </cell>
          <cell r="E1059" t="e">
            <v>#REF!</v>
          </cell>
        </row>
        <row r="1060">
          <cell r="A1060" t="e">
            <v>#REF!</v>
          </cell>
          <cell r="B1060" t="e">
            <v>#REF!</v>
          </cell>
          <cell r="C1060" t="e">
            <v>#REF!</v>
          </cell>
          <cell r="D1060" t="e">
            <v>#REF!</v>
          </cell>
          <cell r="E1060" t="e">
            <v>#REF!</v>
          </cell>
        </row>
        <row r="1061">
          <cell r="A1061" t="e">
            <v>#REF!</v>
          </cell>
          <cell r="B1061" t="e">
            <v>#REF!</v>
          </cell>
          <cell r="C1061" t="e">
            <v>#REF!</v>
          </cell>
          <cell r="D1061" t="e">
            <v>#REF!</v>
          </cell>
          <cell r="E1061" t="e">
            <v>#REF!</v>
          </cell>
        </row>
        <row r="1062">
          <cell r="A1062" t="e">
            <v>#REF!</v>
          </cell>
          <cell r="B1062" t="e">
            <v>#REF!</v>
          </cell>
          <cell r="C1062" t="e">
            <v>#REF!</v>
          </cell>
          <cell r="D1062" t="e">
            <v>#REF!</v>
          </cell>
          <cell r="E1062" t="e">
            <v>#REF!</v>
          </cell>
        </row>
        <row r="1063">
          <cell r="A1063" t="e">
            <v>#REF!</v>
          </cell>
          <cell r="B1063" t="e">
            <v>#REF!</v>
          </cell>
          <cell r="C1063" t="e">
            <v>#REF!</v>
          </cell>
          <cell r="D1063" t="e">
            <v>#REF!</v>
          </cell>
          <cell r="E1063" t="e">
            <v>#REF!</v>
          </cell>
        </row>
        <row r="1064">
          <cell r="A1064" t="e">
            <v>#REF!</v>
          </cell>
          <cell r="B1064" t="e">
            <v>#REF!</v>
          </cell>
          <cell r="C1064" t="e">
            <v>#REF!</v>
          </cell>
          <cell r="D1064" t="e">
            <v>#REF!</v>
          </cell>
          <cell r="E1064" t="e">
            <v>#REF!</v>
          </cell>
        </row>
        <row r="1065">
          <cell r="A1065" t="e">
            <v>#REF!</v>
          </cell>
          <cell r="B1065" t="e">
            <v>#REF!</v>
          </cell>
          <cell r="C1065" t="e">
            <v>#REF!</v>
          </cell>
          <cell r="D1065" t="e">
            <v>#REF!</v>
          </cell>
          <cell r="E1065" t="e">
            <v>#REF!</v>
          </cell>
        </row>
        <row r="1066">
          <cell r="A1066" t="e">
            <v>#REF!</v>
          </cell>
          <cell r="B1066" t="e">
            <v>#REF!</v>
          </cell>
          <cell r="C1066" t="e">
            <v>#REF!</v>
          </cell>
          <cell r="D1066" t="e">
            <v>#REF!</v>
          </cell>
          <cell r="E1066" t="e">
            <v>#REF!</v>
          </cell>
        </row>
        <row r="1067">
          <cell r="A1067" t="e">
            <v>#REF!</v>
          </cell>
          <cell r="B1067" t="e">
            <v>#REF!</v>
          </cell>
          <cell r="C1067" t="e">
            <v>#REF!</v>
          </cell>
          <cell r="D1067" t="e">
            <v>#REF!</v>
          </cell>
          <cell r="E1067" t="e">
            <v>#REF!</v>
          </cell>
        </row>
        <row r="1068">
          <cell r="A1068" t="e">
            <v>#REF!</v>
          </cell>
          <cell r="B1068" t="e">
            <v>#REF!</v>
          </cell>
          <cell r="C1068" t="e">
            <v>#REF!</v>
          </cell>
          <cell r="D1068" t="e">
            <v>#REF!</v>
          </cell>
          <cell r="E1068" t="e">
            <v>#REF!</v>
          </cell>
        </row>
        <row r="1069">
          <cell r="A1069" t="e">
            <v>#REF!</v>
          </cell>
          <cell r="B1069" t="e">
            <v>#REF!</v>
          </cell>
          <cell r="C1069" t="e">
            <v>#REF!</v>
          </cell>
          <cell r="D1069" t="e">
            <v>#REF!</v>
          </cell>
          <cell r="E1069" t="e">
            <v>#REF!</v>
          </cell>
        </row>
        <row r="1070">
          <cell r="A1070" t="e">
            <v>#REF!</v>
          </cell>
          <cell r="B1070" t="e">
            <v>#REF!</v>
          </cell>
          <cell r="C1070" t="e">
            <v>#REF!</v>
          </cell>
          <cell r="D1070" t="e">
            <v>#REF!</v>
          </cell>
          <cell r="E1070" t="e">
            <v>#REF!</v>
          </cell>
        </row>
        <row r="1071">
          <cell r="A1071" t="e">
            <v>#REF!</v>
          </cell>
          <cell r="B1071" t="e">
            <v>#REF!</v>
          </cell>
          <cell r="C1071" t="e">
            <v>#REF!</v>
          </cell>
          <cell r="D1071" t="e">
            <v>#REF!</v>
          </cell>
          <cell r="E1071" t="e">
            <v>#REF!</v>
          </cell>
        </row>
        <row r="1072">
          <cell r="A1072" t="e">
            <v>#REF!</v>
          </cell>
          <cell r="B1072" t="e">
            <v>#REF!</v>
          </cell>
          <cell r="C1072" t="e">
            <v>#REF!</v>
          </cell>
          <cell r="D1072" t="e">
            <v>#REF!</v>
          </cell>
          <cell r="E1072" t="e">
            <v>#REF!</v>
          </cell>
        </row>
        <row r="1073">
          <cell r="A1073" t="e">
            <v>#REF!</v>
          </cell>
          <cell r="B1073" t="e">
            <v>#REF!</v>
          </cell>
          <cell r="C1073" t="e">
            <v>#REF!</v>
          </cell>
          <cell r="D1073" t="e">
            <v>#REF!</v>
          </cell>
          <cell r="E1073" t="e">
            <v>#REF!</v>
          </cell>
        </row>
        <row r="1074">
          <cell r="A1074" t="e">
            <v>#REF!</v>
          </cell>
          <cell r="B1074" t="e">
            <v>#REF!</v>
          </cell>
          <cell r="C1074" t="e">
            <v>#REF!</v>
          </cell>
          <cell r="D1074" t="e">
            <v>#REF!</v>
          </cell>
          <cell r="E1074" t="e">
            <v>#REF!</v>
          </cell>
        </row>
        <row r="1075">
          <cell r="A1075" t="e">
            <v>#REF!</v>
          </cell>
          <cell r="B1075" t="e">
            <v>#REF!</v>
          </cell>
          <cell r="C1075" t="e">
            <v>#REF!</v>
          </cell>
          <cell r="D1075" t="e">
            <v>#REF!</v>
          </cell>
          <cell r="E1075" t="e">
            <v>#REF!</v>
          </cell>
        </row>
        <row r="1076">
          <cell r="A1076" t="e">
            <v>#REF!</v>
          </cell>
          <cell r="B1076" t="e">
            <v>#REF!</v>
          </cell>
          <cell r="C1076" t="e">
            <v>#REF!</v>
          </cell>
          <cell r="D1076" t="e">
            <v>#REF!</v>
          </cell>
          <cell r="E1076" t="e">
            <v>#REF!</v>
          </cell>
        </row>
        <row r="1077">
          <cell r="A1077" t="e">
            <v>#REF!</v>
          </cell>
          <cell r="B1077" t="e">
            <v>#REF!</v>
          </cell>
          <cell r="C1077" t="e">
            <v>#REF!</v>
          </cell>
          <cell r="D1077" t="e">
            <v>#REF!</v>
          </cell>
          <cell r="E1077" t="e">
            <v>#REF!</v>
          </cell>
        </row>
        <row r="1078">
          <cell r="A1078" t="e">
            <v>#REF!</v>
          </cell>
          <cell r="B1078" t="e">
            <v>#REF!</v>
          </cell>
          <cell r="C1078" t="e">
            <v>#REF!</v>
          </cell>
          <cell r="D1078" t="e">
            <v>#REF!</v>
          </cell>
          <cell r="E1078" t="e">
            <v>#REF!</v>
          </cell>
        </row>
        <row r="1079">
          <cell r="A1079" t="e">
            <v>#REF!</v>
          </cell>
          <cell r="B1079" t="e">
            <v>#REF!</v>
          </cell>
          <cell r="C1079" t="e">
            <v>#REF!</v>
          </cell>
          <cell r="D1079" t="e">
            <v>#REF!</v>
          </cell>
          <cell r="E1079" t="e">
            <v>#REF!</v>
          </cell>
        </row>
        <row r="1080">
          <cell r="A1080" t="e">
            <v>#REF!</v>
          </cell>
          <cell r="B1080" t="e">
            <v>#REF!</v>
          </cell>
          <cell r="C1080" t="e">
            <v>#REF!</v>
          </cell>
          <cell r="D1080" t="e">
            <v>#REF!</v>
          </cell>
          <cell r="E1080" t="e">
            <v>#REF!</v>
          </cell>
        </row>
        <row r="1081">
          <cell r="A1081" t="e">
            <v>#REF!</v>
          </cell>
          <cell r="B1081" t="e">
            <v>#REF!</v>
          </cell>
          <cell r="C1081" t="e">
            <v>#REF!</v>
          </cell>
          <cell r="D1081" t="e">
            <v>#REF!</v>
          </cell>
          <cell r="E1081" t="e">
            <v>#REF!</v>
          </cell>
        </row>
        <row r="1082">
          <cell r="A1082" t="e">
            <v>#REF!</v>
          </cell>
          <cell r="B1082" t="e">
            <v>#REF!</v>
          </cell>
          <cell r="C1082" t="e">
            <v>#REF!</v>
          </cell>
          <cell r="D1082" t="e">
            <v>#REF!</v>
          </cell>
          <cell r="E1082" t="e">
            <v>#REF!</v>
          </cell>
        </row>
        <row r="1083">
          <cell r="A1083" t="e">
            <v>#REF!</v>
          </cell>
          <cell r="B1083" t="e">
            <v>#REF!</v>
          </cell>
          <cell r="C1083" t="e">
            <v>#REF!</v>
          </cell>
          <cell r="D1083" t="e">
            <v>#REF!</v>
          </cell>
          <cell r="E1083" t="e">
            <v>#REF!</v>
          </cell>
        </row>
        <row r="1084">
          <cell r="A1084" t="e">
            <v>#REF!</v>
          </cell>
          <cell r="B1084" t="e">
            <v>#REF!</v>
          </cell>
          <cell r="C1084" t="e">
            <v>#REF!</v>
          </cell>
          <cell r="D1084" t="e">
            <v>#REF!</v>
          </cell>
          <cell r="E1084" t="e">
            <v>#REF!</v>
          </cell>
        </row>
        <row r="1085">
          <cell r="A1085" t="e">
            <v>#REF!</v>
          </cell>
          <cell r="B1085" t="e">
            <v>#REF!</v>
          </cell>
          <cell r="C1085" t="e">
            <v>#REF!</v>
          </cell>
          <cell r="D1085" t="e">
            <v>#REF!</v>
          </cell>
          <cell r="E1085" t="e">
            <v>#REF!</v>
          </cell>
        </row>
        <row r="1086">
          <cell r="A1086" t="e">
            <v>#REF!</v>
          </cell>
          <cell r="B1086" t="e">
            <v>#REF!</v>
          </cell>
          <cell r="C1086" t="e">
            <v>#REF!</v>
          </cell>
          <cell r="D1086" t="e">
            <v>#REF!</v>
          </cell>
          <cell r="E1086" t="e">
            <v>#REF!</v>
          </cell>
        </row>
        <row r="1087">
          <cell r="A1087" t="e">
            <v>#REF!</v>
          </cell>
          <cell r="B1087" t="e">
            <v>#REF!</v>
          </cell>
          <cell r="C1087" t="e">
            <v>#REF!</v>
          </cell>
          <cell r="D1087" t="e">
            <v>#REF!</v>
          </cell>
          <cell r="E1087" t="e">
            <v>#REF!</v>
          </cell>
        </row>
        <row r="1088">
          <cell r="A1088" t="e">
            <v>#REF!</v>
          </cell>
          <cell r="B1088" t="e">
            <v>#REF!</v>
          </cell>
          <cell r="C1088" t="e">
            <v>#REF!</v>
          </cell>
          <cell r="D1088" t="e">
            <v>#REF!</v>
          </cell>
          <cell r="E1088" t="e">
            <v>#REF!</v>
          </cell>
        </row>
        <row r="1089">
          <cell r="A1089" t="e">
            <v>#REF!</v>
          </cell>
          <cell r="B1089" t="e">
            <v>#REF!</v>
          </cell>
          <cell r="C1089" t="e">
            <v>#REF!</v>
          </cell>
          <cell r="D1089" t="e">
            <v>#REF!</v>
          </cell>
          <cell r="E1089" t="e">
            <v>#REF!</v>
          </cell>
        </row>
        <row r="1090">
          <cell r="A1090" t="e">
            <v>#REF!</v>
          </cell>
          <cell r="B1090" t="e">
            <v>#REF!</v>
          </cell>
          <cell r="C1090" t="e">
            <v>#REF!</v>
          </cell>
          <cell r="D1090" t="e">
            <v>#REF!</v>
          </cell>
          <cell r="E1090" t="e">
            <v>#REF!</v>
          </cell>
        </row>
        <row r="1091">
          <cell r="A1091" t="e">
            <v>#REF!</v>
          </cell>
          <cell r="B1091" t="e">
            <v>#REF!</v>
          </cell>
          <cell r="C1091" t="e">
            <v>#REF!</v>
          </cell>
          <cell r="D1091" t="e">
            <v>#REF!</v>
          </cell>
          <cell r="E1091" t="e">
            <v>#REF!</v>
          </cell>
        </row>
        <row r="1092">
          <cell r="A1092" t="e">
            <v>#REF!</v>
          </cell>
          <cell r="B1092" t="e">
            <v>#REF!</v>
          </cell>
          <cell r="C1092" t="e">
            <v>#REF!</v>
          </cell>
          <cell r="D1092" t="e">
            <v>#REF!</v>
          </cell>
          <cell r="E1092" t="e">
            <v>#REF!</v>
          </cell>
        </row>
        <row r="1093">
          <cell r="A1093" t="e">
            <v>#REF!</v>
          </cell>
          <cell r="B1093" t="e">
            <v>#REF!</v>
          </cell>
          <cell r="C1093" t="e">
            <v>#REF!</v>
          </cell>
          <cell r="D1093" t="e">
            <v>#REF!</v>
          </cell>
          <cell r="E1093" t="e">
            <v>#REF!</v>
          </cell>
        </row>
        <row r="1094">
          <cell r="A1094" t="e">
            <v>#REF!</v>
          </cell>
          <cell r="B1094" t="e">
            <v>#REF!</v>
          </cell>
          <cell r="C1094" t="e">
            <v>#REF!</v>
          </cell>
          <cell r="D1094" t="e">
            <v>#REF!</v>
          </cell>
          <cell r="E1094" t="e">
            <v>#REF!</v>
          </cell>
        </row>
        <row r="1095">
          <cell r="A1095" t="e">
            <v>#REF!</v>
          </cell>
          <cell r="B1095" t="e">
            <v>#REF!</v>
          </cell>
          <cell r="C1095" t="e">
            <v>#REF!</v>
          </cell>
          <cell r="D1095" t="e">
            <v>#REF!</v>
          </cell>
          <cell r="E1095" t="e">
            <v>#REF!</v>
          </cell>
        </row>
        <row r="1096">
          <cell r="A1096" t="e">
            <v>#REF!</v>
          </cell>
          <cell r="B1096" t="e">
            <v>#REF!</v>
          </cell>
          <cell r="C1096" t="e">
            <v>#REF!</v>
          </cell>
          <cell r="D1096" t="e">
            <v>#REF!</v>
          </cell>
          <cell r="E1096" t="e">
            <v>#REF!</v>
          </cell>
        </row>
        <row r="1097">
          <cell r="A1097" t="e">
            <v>#REF!</v>
          </cell>
          <cell r="B1097" t="e">
            <v>#REF!</v>
          </cell>
          <cell r="C1097" t="e">
            <v>#REF!</v>
          </cell>
          <cell r="D1097" t="e">
            <v>#REF!</v>
          </cell>
          <cell r="E1097" t="e">
            <v>#REF!</v>
          </cell>
        </row>
        <row r="1098">
          <cell r="A1098" t="e">
            <v>#REF!</v>
          </cell>
          <cell r="B1098" t="e">
            <v>#REF!</v>
          </cell>
          <cell r="C1098" t="e">
            <v>#REF!</v>
          </cell>
          <cell r="D1098" t="e">
            <v>#REF!</v>
          </cell>
          <cell r="E1098" t="e">
            <v>#REF!</v>
          </cell>
        </row>
        <row r="1099">
          <cell r="A1099" t="e">
            <v>#REF!</v>
          </cell>
          <cell r="B1099" t="e">
            <v>#REF!</v>
          </cell>
          <cell r="C1099" t="e">
            <v>#REF!</v>
          </cell>
          <cell r="D1099" t="e">
            <v>#REF!</v>
          </cell>
          <cell r="E1099" t="e">
            <v>#REF!</v>
          </cell>
        </row>
        <row r="1100">
          <cell r="A1100" t="e">
            <v>#REF!</v>
          </cell>
          <cell r="B1100" t="e">
            <v>#REF!</v>
          </cell>
          <cell r="C1100" t="e">
            <v>#REF!</v>
          </cell>
          <cell r="D1100" t="e">
            <v>#REF!</v>
          </cell>
          <cell r="E1100" t="e">
            <v>#REF!</v>
          </cell>
        </row>
        <row r="1101">
          <cell r="A1101" t="e">
            <v>#REF!</v>
          </cell>
          <cell r="B1101" t="e">
            <v>#REF!</v>
          </cell>
          <cell r="C1101" t="e">
            <v>#REF!</v>
          </cell>
          <cell r="D1101" t="e">
            <v>#REF!</v>
          </cell>
          <cell r="E1101" t="e">
            <v>#REF!</v>
          </cell>
        </row>
        <row r="1102">
          <cell r="A1102" t="e">
            <v>#REF!</v>
          </cell>
          <cell r="B1102" t="e">
            <v>#REF!</v>
          </cell>
          <cell r="C1102" t="e">
            <v>#REF!</v>
          </cell>
          <cell r="D1102" t="e">
            <v>#REF!</v>
          </cell>
          <cell r="E1102" t="e">
            <v>#REF!</v>
          </cell>
        </row>
        <row r="1103">
          <cell r="A1103" t="e">
            <v>#REF!</v>
          </cell>
          <cell r="B1103" t="e">
            <v>#REF!</v>
          </cell>
          <cell r="C1103" t="e">
            <v>#REF!</v>
          </cell>
          <cell r="D1103" t="e">
            <v>#REF!</v>
          </cell>
          <cell r="E1103" t="e">
            <v>#REF!</v>
          </cell>
        </row>
        <row r="1104">
          <cell r="A1104" t="e">
            <v>#REF!</v>
          </cell>
          <cell r="B1104" t="e">
            <v>#REF!</v>
          </cell>
          <cell r="C1104" t="e">
            <v>#REF!</v>
          </cell>
          <cell r="D1104" t="e">
            <v>#REF!</v>
          </cell>
          <cell r="E1104" t="e">
            <v>#REF!</v>
          </cell>
        </row>
        <row r="1105">
          <cell r="A1105" t="e">
            <v>#REF!</v>
          </cell>
          <cell r="B1105" t="e">
            <v>#REF!</v>
          </cell>
          <cell r="C1105" t="e">
            <v>#REF!</v>
          </cell>
          <cell r="D1105" t="e">
            <v>#REF!</v>
          </cell>
          <cell r="E1105" t="e">
            <v>#REF!</v>
          </cell>
        </row>
        <row r="1106">
          <cell r="A1106" t="e">
            <v>#REF!</v>
          </cell>
          <cell r="B1106" t="e">
            <v>#REF!</v>
          </cell>
          <cell r="C1106" t="e">
            <v>#REF!</v>
          </cell>
          <cell r="D1106" t="e">
            <v>#REF!</v>
          </cell>
          <cell r="E1106" t="e">
            <v>#REF!</v>
          </cell>
        </row>
        <row r="1107">
          <cell r="A1107" t="e">
            <v>#REF!</v>
          </cell>
          <cell r="B1107" t="e">
            <v>#REF!</v>
          </cell>
          <cell r="C1107" t="e">
            <v>#REF!</v>
          </cell>
          <cell r="D1107" t="e">
            <v>#REF!</v>
          </cell>
          <cell r="E1107" t="e">
            <v>#REF!</v>
          </cell>
        </row>
        <row r="1108">
          <cell r="A1108" t="e">
            <v>#REF!</v>
          </cell>
          <cell r="B1108" t="e">
            <v>#REF!</v>
          </cell>
          <cell r="C1108" t="e">
            <v>#REF!</v>
          </cell>
          <cell r="D1108" t="e">
            <v>#REF!</v>
          </cell>
          <cell r="E1108" t="e">
            <v>#REF!</v>
          </cell>
        </row>
        <row r="1109">
          <cell r="A1109" t="e">
            <v>#REF!</v>
          </cell>
          <cell r="B1109" t="e">
            <v>#REF!</v>
          </cell>
          <cell r="C1109" t="e">
            <v>#REF!</v>
          </cell>
          <cell r="D1109" t="e">
            <v>#REF!</v>
          </cell>
          <cell r="E1109" t="e">
            <v>#REF!</v>
          </cell>
        </row>
        <row r="1110">
          <cell r="A1110" t="e">
            <v>#REF!</v>
          </cell>
          <cell r="B1110" t="e">
            <v>#REF!</v>
          </cell>
          <cell r="C1110" t="e">
            <v>#REF!</v>
          </cell>
          <cell r="D1110" t="e">
            <v>#REF!</v>
          </cell>
          <cell r="E1110" t="e">
            <v>#REF!</v>
          </cell>
        </row>
        <row r="1111">
          <cell r="A1111" t="e">
            <v>#REF!</v>
          </cell>
          <cell r="B1111" t="e">
            <v>#REF!</v>
          </cell>
          <cell r="C1111" t="e">
            <v>#REF!</v>
          </cell>
          <cell r="D1111" t="e">
            <v>#REF!</v>
          </cell>
          <cell r="E1111" t="e">
            <v>#REF!</v>
          </cell>
        </row>
        <row r="1112">
          <cell r="A1112" t="e">
            <v>#REF!</v>
          </cell>
          <cell r="B1112" t="e">
            <v>#REF!</v>
          </cell>
          <cell r="C1112" t="e">
            <v>#REF!</v>
          </cell>
          <cell r="D1112" t="e">
            <v>#REF!</v>
          </cell>
          <cell r="E1112" t="e">
            <v>#REF!</v>
          </cell>
        </row>
        <row r="1113">
          <cell r="A1113" t="e">
            <v>#REF!</v>
          </cell>
          <cell r="B1113" t="e">
            <v>#REF!</v>
          </cell>
          <cell r="C1113" t="e">
            <v>#REF!</v>
          </cell>
          <cell r="D1113" t="e">
            <v>#REF!</v>
          </cell>
          <cell r="E1113" t="e">
            <v>#REF!</v>
          </cell>
        </row>
        <row r="1114">
          <cell r="A1114" t="e">
            <v>#REF!</v>
          </cell>
          <cell r="B1114" t="e">
            <v>#REF!</v>
          </cell>
          <cell r="C1114" t="e">
            <v>#REF!</v>
          </cell>
          <cell r="D1114" t="e">
            <v>#REF!</v>
          </cell>
          <cell r="E1114" t="e">
            <v>#REF!</v>
          </cell>
        </row>
        <row r="1115">
          <cell r="A1115" t="e">
            <v>#REF!</v>
          </cell>
          <cell r="B1115" t="e">
            <v>#REF!</v>
          </cell>
          <cell r="C1115" t="e">
            <v>#REF!</v>
          </cell>
          <cell r="D1115" t="e">
            <v>#REF!</v>
          </cell>
          <cell r="E1115" t="e">
            <v>#REF!</v>
          </cell>
        </row>
        <row r="1116">
          <cell r="A1116" t="e">
            <v>#REF!</v>
          </cell>
          <cell r="B1116" t="e">
            <v>#REF!</v>
          </cell>
          <cell r="C1116" t="e">
            <v>#REF!</v>
          </cell>
          <cell r="D1116" t="e">
            <v>#REF!</v>
          </cell>
          <cell r="E1116" t="e">
            <v>#REF!</v>
          </cell>
        </row>
        <row r="1117">
          <cell r="A1117" t="e">
            <v>#REF!</v>
          </cell>
          <cell r="B1117" t="e">
            <v>#REF!</v>
          </cell>
          <cell r="C1117" t="e">
            <v>#REF!</v>
          </cell>
          <cell r="D1117" t="e">
            <v>#REF!</v>
          </cell>
          <cell r="E1117" t="e">
            <v>#REF!</v>
          </cell>
        </row>
        <row r="1118">
          <cell r="A1118" t="e">
            <v>#REF!</v>
          </cell>
          <cell r="B1118" t="e">
            <v>#REF!</v>
          </cell>
          <cell r="C1118" t="e">
            <v>#REF!</v>
          </cell>
          <cell r="D1118" t="e">
            <v>#REF!</v>
          </cell>
          <cell r="E1118" t="e">
            <v>#REF!</v>
          </cell>
        </row>
        <row r="1119">
          <cell r="A1119" t="e">
            <v>#REF!</v>
          </cell>
          <cell r="B1119" t="e">
            <v>#REF!</v>
          </cell>
          <cell r="C1119" t="e">
            <v>#REF!</v>
          </cell>
          <cell r="D1119" t="e">
            <v>#REF!</v>
          </cell>
          <cell r="E1119" t="e">
            <v>#REF!</v>
          </cell>
        </row>
        <row r="1120">
          <cell r="A1120" t="e">
            <v>#REF!</v>
          </cell>
          <cell r="B1120" t="e">
            <v>#REF!</v>
          </cell>
          <cell r="C1120" t="e">
            <v>#REF!</v>
          </cell>
          <cell r="D1120" t="e">
            <v>#REF!</v>
          </cell>
          <cell r="E1120" t="e">
            <v>#REF!</v>
          </cell>
        </row>
        <row r="1121">
          <cell r="A1121" t="e">
            <v>#REF!</v>
          </cell>
          <cell r="B1121" t="e">
            <v>#REF!</v>
          </cell>
          <cell r="C1121" t="e">
            <v>#REF!</v>
          </cell>
          <cell r="D1121" t="e">
            <v>#REF!</v>
          </cell>
          <cell r="E1121" t="e">
            <v>#REF!</v>
          </cell>
        </row>
        <row r="1122">
          <cell r="A1122" t="e">
            <v>#REF!</v>
          </cell>
          <cell r="B1122" t="e">
            <v>#REF!</v>
          </cell>
          <cell r="C1122" t="e">
            <v>#REF!</v>
          </cell>
          <cell r="D1122" t="e">
            <v>#REF!</v>
          </cell>
          <cell r="E1122" t="e">
            <v>#REF!</v>
          </cell>
        </row>
        <row r="1123">
          <cell r="A1123" t="e">
            <v>#REF!</v>
          </cell>
          <cell r="B1123" t="e">
            <v>#REF!</v>
          </cell>
          <cell r="C1123" t="e">
            <v>#REF!</v>
          </cell>
          <cell r="D1123" t="e">
            <v>#REF!</v>
          </cell>
          <cell r="E1123" t="e">
            <v>#REF!</v>
          </cell>
        </row>
        <row r="1124">
          <cell r="A1124" t="e">
            <v>#REF!</v>
          </cell>
          <cell r="B1124" t="e">
            <v>#REF!</v>
          </cell>
          <cell r="C1124" t="e">
            <v>#REF!</v>
          </cell>
          <cell r="D1124" t="e">
            <v>#REF!</v>
          </cell>
          <cell r="E1124" t="e">
            <v>#REF!</v>
          </cell>
        </row>
        <row r="1125">
          <cell r="A1125" t="e">
            <v>#REF!</v>
          </cell>
          <cell r="B1125" t="e">
            <v>#REF!</v>
          </cell>
          <cell r="C1125" t="e">
            <v>#REF!</v>
          </cell>
          <cell r="D1125" t="e">
            <v>#REF!</v>
          </cell>
          <cell r="E1125" t="e">
            <v>#REF!</v>
          </cell>
        </row>
        <row r="1126">
          <cell r="A1126" t="e">
            <v>#REF!</v>
          </cell>
          <cell r="B1126" t="e">
            <v>#REF!</v>
          </cell>
          <cell r="C1126" t="e">
            <v>#REF!</v>
          </cell>
          <cell r="D1126" t="e">
            <v>#REF!</v>
          </cell>
          <cell r="E1126" t="e">
            <v>#REF!</v>
          </cell>
        </row>
        <row r="1127">
          <cell r="A1127" t="e">
            <v>#REF!</v>
          </cell>
          <cell r="B1127" t="e">
            <v>#REF!</v>
          </cell>
          <cell r="C1127" t="e">
            <v>#REF!</v>
          </cell>
          <cell r="D1127" t="e">
            <v>#REF!</v>
          </cell>
          <cell r="E1127" t="e">
            <v>#REF!</v>
          </cell>
        </row>
        <row r="1128">
          <cell r="A1128" t="e">
            <v>#REF!</v>
          </cell>
          <cell r="B1128" t="e">
            <v>#REF!</v>
          </cell>
          <cell r="C1128" t="e">
            <v>#REF!</v>
          </cell>
          <cell r="D1128" t="e">
            <v>#REF!</v>
          </cell>
          <cell r="E1128" t="e">
            <v>#REF!</v>
          </cell>
        </row>
        <row r="1129">
          <cell r="A1129" t="e">
            <v>#REF!</v>
          </cell>
          <cell r="B1129" t="e">
            <v>#REF!</v>
          </cell>
          <cell r="C1129" t="e">
            <v>#REF!</v>
          </cell>
          <cell r="D1129" t="e">
            <v>#REF!</v>
          </cell>
          <cell r="E1129" t="e">
            <v>#REF!</v>
          </cell>
        </row>
        <row r="1130">
          <cell r="E1130" t="e">
            <v>#REF!</v>
          </cell>
        </row>
        <row r="1131">
          <cell r="E1131" t="e">
            <v>#REF!</v>
          </cell>
        </row>
        <row r="1133">
          <cell r="B1133" t="e">
            <v>#REF!</v>
          </cell>
          <cell r="G1133" t="e">
            <v>#REF!</v>
          </cell>
          <cell r="H1133" t="e">
            <v>#REF!</v>
          </cell>
        </row>
        <row r="1134">
          <cell r="A1134" t="e">
            <v>#REF!</v>
          </cell>
          <cell r="B1134" t="e">
            <v>#REF!</v>
          </cell>
          <cell r="C1134" t="e">
            <v>#REF!</v>
          </cell>
          <cell r="D1134" t="e">
            <v>#REF!</v>
          </cell>
          <cell r="E1134" t="e">
            <v>#REF!</v>
          </cell>
          <cell r="F1134" t="e">
            <v>#REF!</v>
          </cell>
          <cell r="G1134" t="e">
            <v>#REF!</v>
          </cell>
          <cell r="H1134" t="e">
            <v>#REF!</v>
          </cell>
        </row>
        <row r="1135">
          <cell r="A1135" t="e">
            <v>#REF!</v>
          </cell>
          <cell r="B1135" t="e">
            <v>#REF!</v>
          </cell>
          <cell r="C1135" t="e">
            <v>#REF!</v>
          </cell>
          <cell r="D1135" t="e">
            <v>#REF!</v>
          </cell>
          <cell r="E1135" t="e">
            <v>#REF!</v>
          </cell>
          <cell r="F1135" t="e">
            <v>#REF!</v>
          </cell>
          <cell r="G1135" t="e">
            <v>#REF!</v>
          </cell>
          <cell r="H1135" t="e">
            <v>#REF!</v>
          </cell>
        </row>
        <row r="1136">
          <cell r="A1136" t="e">
            <v>#REF!</v>
          </cell>
          <cell r="B1136" t="e">
            <v>#REF!</v>
          </cell>
          <cell r="C1136" t="e">
            <v>#REF!</v>
          </cell>
          <cell r="D1136" t="e">
            <v>#REF!</v>
          </cell>
          <cell r="E1136" t="e">
            <v>#REF!</v>
          </cell>
          <cell r="F1136" t="e">
            <v>#REF!</v>
          </cell>
          <cell r="G1136" t="e">
            <v>#REF!</v>
          </cell>
          <cell r="H1136" t="e">
            <v>#REF!</v>
          </cell>
        </row>
        <row r="1137">
          <cell r="A1137" t="e">
            <v>#REF!</v>
          </cell>
          <cell r="B1137" t="e">
            <v>#REF!</v>
          </cell>
          <cell r="C1137" t="e">
            <v>#REF!</v>
          </cell>
          <cell r="D1137" t="e">
            <v>#REF!</v>
          </cell>
          <cell r="E1137" t="e">
            <v>#REF!</v>
          </cell>
          <cell r="F1137" t="e">
            <v>#REF!</v>
          </cell>
          <cell r="G1137" t="e">
            <v>#REF!</v>
          </cell>
          <cell r="H1137" t="e">
            <v>#REF!</v>
          </cell>
        </row>
        <row r="1138">
          <cell r="A1138" t="e">
            <v>#REF!</v>
          </cell>
          <cell r="B1138" t="e">
            <v>#REF!</v>
          </cell>
          <cell r="C1138" t="e">
            <v>#REF!</v>
          </cell>
          <cell r="D1138" t="e">
            <v>#REF!</v>
          </cell>
          <cell r="E1138" t="e">
            <v>#REF!</v>
          </cell>
          <cell r="F1138" t="e">
            <v>#REF!</v>
          </cell>
          <cell r="G1138" t="e">
            <v>#REF!</v>
          </cell>
          <cell r="H1138" t="e">
            <v>#REF!</v>
          </cell>
        </row>
        <row r="1139">
          <cell r="A1139" t="e">
            <v>#REF!</v>
          </cell>
          <cell r="B1139" t="e">
            <v>#REF!</v>
          </cell>
          <cell r="C1139" t="e">
            <v>#REF!</v>
          </cell>
          <cell r="D1139" t="e">
            <v>#REF!</v>
          </cell>
          <cell r="E1139" t="e">
            <v>#REF!</v>
          </cell>
          <cell r="F1139" t="e">
            <v>#REF!</v>
          </cell>
          <cell r="G1139" t="e">
            <v>#REF!</v>
          </cell>
          <cell r="H1139" t="e">
            <v>#REF!</v>
          </cell>
        </row>
        <row r="1140">
          <cell r="A1140" t="e">
            <v>#REF!</v>
          </cell>
          <cell r="B1140" t="e">
            <v>#REF!</v>
          </cell>
          <cell r="C1140" t="e">
            <v>#REF!</v>
          </cell>
          <cell r="D1140" t="e">
            <v>#REF!</v>
          </cell>
          <cell r="E1140" t="e">
            <v>#REF!</v>
          </cell>
          <cell r="F1140" t="e">
            <v>#REF!</v>
          </cell>
          <cell r="G1140" t="e">
            <v>#REF!</v>
          </cell>
          <cell r="H1140" t="e">
            <v>#REF!</v>
          </cell>
        </row>
        <row r="1141">
          <cell r="A1141" t="e">
            <v>#REF!</v>
          </cell>
          <cell r="B1141" t="e">
            <v>#REF!</v>
          </cell>
          <cell r="C1141" t="e">
            <v>#REF!</v>
          </cell>
          <cell r="D1141" t="e">
            <v>#REF!</v>
          </cell>
          <cell r="E1141" t="e">
            <v>#REF!</v>
          </cell>
          <cell r="F1141" t="e">
            <v>#REF!</v>
          </cell>
          <cell r="G1141" t="e">
            <v>#REF!</v>
          </cell>
          <cell r="H1141" t="e">
            <v>#REF!</v>
          </cell>
        </row>
        <row r="1142">
          <cell r="A1142" t="e">
            <v>#REF!</v>
          </cell>
          <cell r="B1142" t="e">
            <v>#REF!</v>
          </cell>
          <cell r="C1142" t="e">
            <v>#REF!</v>
          </cell>
          <cell r="D1142" t="e">
            <v>#REF!</v>
          </cell>
          <cell r="E1142" t="e">
            <v>#REF!</v>
          </cell>
          <cell r="F1142" t="e">
            <v>#REF!</v>
          </cell>
          <cell r="G1142" t="e">
            <v>#REF!</v>
          </cell>
          <cell r="H1142" t="e">
            <v>#REF!</v>
          </cell>
        </row>
        <row r="1143">
          <cell r="A1143" t="e">
            <v>#REF!</v>
          </cell>
          <cell r="B1143" t="e">
            <v>#REF!</v>
          </cell>
          <cell r="C1143" t="e">
            <v>#REF!</v>
          </cell>
          <cell r="D1143" t="e">
            <v>#REF!</v>
          </cell>
          <cell r="E1143" t="e">
            <v>#REF!</v>
          </cell>
          <cell r="F1143" t="e">
            <v>#REF!</v>
          </cell>
          <cell r="G1143" t="e">
            <v>#REF!</v>
          </cell>
          <cell r="H1143" t="e">
            <v>#REF!</v>
          </cell>
        </row>
        <row r="1144">
          <cell r="A1144" t="e">
            <v>#REF!</v>
          </cell>
          <cell r="B1144" t="e">
            <v>#REF!</v>
          </cell>
          <cell r="C1144" t="e">
            <v>#REF!</v>
          </cell>
          <cell r="D1144" t="e">
            <v>#REF!</v>
          </cell>
          <cell r="E1144" t="e">
            <v>#REF!</v>
          </cell>
          <cell r="F1144" t="e">
            <v>#REF!</v>
          </cell>
          <cell r="G1144" t="e">
            <v>#REF!</v>
          </cell>
          <cell r="H1144" t="e">
            <v>#REF!</v>
          </cell>
        </row>
        <row r="1145">
          <cell r="A1145" t="e">
            <v>#REF!</v>
          </cell>
          <cell r="B1145" t="e">
            <v>#REF!</v>
          </cell>
          <cell r="C1145" t="e">
            <v>#REF!</v>
          </cell>
          <cell r="D1145" t="e">
            <v>#REF!</v>
          </cell>
          <cell r="E1145" t="e">
            <v>#REF!</v>
          </cell>
          <cell r="F1145" t="e">
            <v>#REF!</v>
          </cell>
          <cell r="G1145" t="e">
            <v>#REF!</v>
          </cell>
          <cell r="H1145" t="e">
            <v>#REF!</v>
          </cell>
        </row>
        <row r="1146">
          <cell r="A1146" t="e">
            <v>#REF!</v>
          </cell>
          <cell r="B1146" t="e">
            <v>#REF!</v>
          </cell>
          <cell r="C1146" t="e">
            <v>#REF!</v>
          </cell>
          <cell r="D1146" t="e">
            <v>#REF!</v>
          </cell>
          <cell r="E1146" t="e">
            <v>#REF!</v>
          </cell>
          <cell r="F1146" t="e">
            <v>#REF!</v>
          </cell>
          <cell r="G1146" t="e">
            <v>#REF!</v>
          </cell>
          <cell r="H1146" t="e">
            <v>#REF!</v>
          </cell>
        </row>
        <row r="1147">
          <cell r="A1147" t="e">
            <v>#REF!</v>
          </cell>
          <cell r="B1147" t="e">
            <v>#REF!</v>
          </cell>
          <cell r="C1147" t="e">
            <v>#REF!</v>
          </cell>
          <cell r="D1147" t="e">
            <v>#REF!</v>
          </cell>
          <cell r="E1147" t="e">
            <v>#REF!</v>
          </cell>
          <cell r="F1147" t="e">
            <v>#REF!</v>
          </cell>
          <cell r="G1147" t="e">
            <v>#REF!</v>
          </cell>
          <cell r="H1147" t="e">
            <v>#REF!</v>
          </cell>
        </row>
        <row r="1148">
          <cell r="A1148" t="e">
            <v>#REF!</v>
          </cell>
          <cell r="B1148" t="e">
            <v>#REF!</v>
          </cell>
          <cell r="C1148" t="e">
            <v>#REF!</v>
          </cell>
          <cell r="D1148" t="e">
            <v>#REF!</v>
          </cell>
          <cell r="E1148" t="e">
            <v>#REF!</v>
          </cell>
          <cell r="F1148" t="e">
            <v>#REF!</v>
          </cell>
          <cell r="G1148" t="e">
            <v>#REF!</v>
          </cell>
          <cell r="H1148" t="e">
            <v>#REF!</v>
          </cell>
        </row>
        <row r="1149">
          <cell r="A1149" t="e">
            <v>#REF!</v>
          </cell>
          <cell r="B1149" t="e">
            <v>#REF!</v>
          </cell>
          <cell r="C1149" t="e">
            <v>#REF!</v>
          </cell>
          <cell r="D1149" t="e">
            <v>#REF!</v>
          </cell>
          <cell r="E1149" t="e">
            <v>#REF!</v>
          </cell>
          <cell r="F1149" t="e">
            <v>#REF!</v>
          </cell>
          <cell r="G1149" t="e">
            <v>#REF!</v>
          </cell>
          <cell r="H1149" t="e">
            <v>#REF!</v>
          </cell>
        </row>
        <row r="1150">
          <cell r="A1150" t="e">
            <v>#REF!</v>
          </cell>
          <cell r="B1150" t="e">
            <v>#REF!</v>
          </cell>
          <cell r="C1150" t="e">
            <v>#REF!</v>
          </cell>
          <cell r="D1150" t="e">
            <v>#REF!</v>
          </cell>
          <cell r="E1150" t="e">
            <v>#REF!</v>
          </cell>
          <cell r="F1150" t="e">
            <v>#REF!</v>
          </cell>
          <cell r="G1150" t="e">
            <v>#REF!</v>
          </cell>
          <cell r="H1150" t="e">
            <v>#REF!</v>
          </cell>
        </row>
        <row r="1151">
          <cell r="A1151" t="e">
            <v>#REF!</v>
          </cell>
          <cell r="B1151" t="e">
            <v>#REF!</v>
          </cell>
          <cell r="C1151" t="e">
            <v>#REF!</v>
          </cell>
          <cell r="D1151" t="e">
            <v>#REF!</v>
          </cell>
          <cell r="E1151" t="e">
            <v>#REF!</v>
          </cell>
          <cell r="F1151" t="e">
            <v>#REF!</v>
          </cell>
          <cell r="G1151" t="e">
            <v>#REF!</v>
          </cell>
          <cell r="H1151" t="e">
            <v>#REF!</v>
          </cell>
        </row>
        <row r="1152">
          <cell r="A1152" t="e">
            <v>#REF!</v>
          </cell>
          <cell r="B1152" t="e">
            <v>#REF!</v>
          </cell>
          <cell r="C1152" t="e">
            <v>#REF!</v>
          </cell>
          <cell r="D1152" t="e">
            <v>#REF!</v>
          </cell>
          <cell r="E1152" t="e">
            <v>#REF!</v>
          </cell>
          <cell r="F1152" t="e">
            <v>#REF!</v>
          </cell>
          <cell r="G1152" t="e">
            <v>#REF!</v>
          </cell>
          <cell r="H1152" t="e">
            <v>#REF!</v>
          </cell>
        </row>
        <row r="1153">
          <cell r="A1153" t="e">
            <v>#REF!</v>
          </cell>
          <cell r="B1153" t="e">
            <v>#REF!</v>
          </cell>
          <cell r="C1153" t="e">
            <v>#REF!</v>
          </cell>
          <cell r="D1153" t="e">
            <v>#REF!</v>
          </cell>
          <cell r="E1153" t="e">
            <v>#REF!</v>
          </cell>
          <cell r="F1153" t="e">
            <v>#REF!</v>
          </cell>
          <cell r="G1153" t="e">
            <v>#REF!</v>
          </cell>
          <cell r="H1153" t="e">
            <v>#REF!</v>
          </cell>
        </row>
        <row r="1154">
          <cell r="A1154" t="e">
            <v>#REF!</v>
          </cell>
          <cell r="B1154" t="e">
            <v>#REF!</v>
          </cell>
          <cell r="C1154" t="e">
            <v>#REF!</v>
          </cell>
          <cell r="D1154" t="e">
            <v>#REF!</v>
          </cell>
          <cell r="E1154" t="e">
            <v>#REF!</v>
          </cell>
          <cell r="F1154" t="e">
            <v>#REF!</v>
          </cell>
          <cell r="G1154" t="e">
            <v>#REF!</v>
          </cell>
          <cell r="H1154" t="e">
            <v>#REF!</v>
          </cell>
        </row>
        <row r="1155">
          <cell r="A1155" t="e">
            <v>#REF!</v>
          </cell>
          <cell r="B1155" t="e">
            <v>#REF!</v>
          </cell>
          <cell r="C1155" t="e">
            <v>#REF!</v>
          </cell>
          <cell r="D1155" t="e">
            <v>#REF!</v>
          </cell>
          <cell r="E1155" t="e">
            <v>#REF!</v>
          </cell>
          <cell r="F1155" t="e">
            <v>#REF!</v>
          </cell>
          <cell r="G1155" t="e">
            <v>#REF!</v>
          </cell>
          <cell r="H1155" t="e">
            <v>#REF!</v>
          </cell>
        </row>
        <row r="1156">
          <cell r="A1156" t="e">
            <v>#REF!</v>
          </cell>
          <cell r="B1156" t="e">
            <v>#REF!</v>
          </cell>
          <cell r="C1156" t="e">
            <v>#REF!</v>
          </cell>
          <cell r="D1156" t="e">
            <v>#REF!</v>
          </cell>
          <cell r="E1156" t="e">
            <v>#REF!</v>
          </cell>
          <cell r="F1156" t="e">
            <v>#REF!</v>
          </cell>
          <cell r="G1156" t="e">
            <v>#REF!</v>
          </cell>
          <cell r="H1156" t="e">
            <v>#REF!</v>
          </cell>
        </row>
        <row r="1157">
          <cell r="A1157" t="e">
            <v>#REF!</v>
          </cell>
          <cell r="B1157" t="e">
            <v>#REF!</v>
          </cell>
          <cell r="C1157" t="e">
            <v>#REF!</v>
          </cell>
          <cell r="D1157" t="e">
            <v>#REF!</v>
          </cell>
          <cell r="E1157" t="e">
            <v>#REF!</v>
          </cell>
          <cell r="F1157" t="e">
            <v>#REF!</v>
          </cell>
          <cell r="G1157" t="e">
            <v>#REF!</v>
          </cell>
          <cell r="H1157" t="e">
            <v>#REF!</v>
          </cell>
        </row>
        <row r="1158">
          <cell r="A1158" t="e">
            <v>#REF!</v>
          </cell>
          <cell r="B1158" t="e">
            <v>#REF!</v>
          </cell>
          <cell r="C1158" t="e">
            <v>#REF!</v>
          </cell>
          <cell r="D1158" t="e">
            <v>#REF!</v>
          </cell>
          <cell r="E1158" t="e">
            <v>#REF!</v>
          </cell>
          <cell r="F1158" t="e">
            <v>#REF!</v>
          </cell>
          <cell r="G1158" t="e">
            <v>#REF!</v>
          </cell>
          <cell r="H1158" t="e">
            <v>#REF!</v>
          </cell>
        </row>
        <row r="1159">
          <cell r="A1159" t="e">
            <v>#REF!</v>
          </cell>
          <cell r="B1159" t="e">
            <v>#REF!</v>
          </cell>
          <cell r="C1159" t="e">
            <v>#REF!</v>
          </cell>
          <cell r="D1159" t="e">
            <v>#REF!</v>
          </cell>
          <cell r="E1159" t="e">
            <v>#REF!</v>
          </cell>
          <cell r="F1159" t="e">
            <v>#REF!</v>
          </cell>
          <cell r="G1159" t="e">
            <v>#REF!</v>
          </cell>
          <cell r="H1159" t="e">
            <v>#REF!</v>
          </cell>
        </row>
        <row r="1160">
          <cell r="A1160" t="e">
            <v>#REF!</v>
          </cell>
          <cell r="B1160" t="e">
            <v>#REF!</v>
          </cell>
          <cell r="C1160" t="e">
            <v>#REF!</v>
          </cell>
          <cell r="D1160" t="e">
            <v>#REF!</v>
          </cell>
          <cell r="E1160" t="e">
            <v>#REF!</v>
          </cell>
          <cell r="F1160" t="e">
            <v>#REF!</v>
          </cell>
          <cell r="G1160" t="e">
            <v>#REF!</v>
          </cell>
          <cell r="H1160" t="e">
            <v>#REF!</v>
          </cell>
        </row>
        <row r="1161">
          <cell r="A1161" t="e">
            <v>#REF!</v>
          </cell>
          <cell r="B1161" t="e">
            <v>#REF!</v>
          </cell>
          <cell r="C1161" t="e">
            <v>#REF!</v>
          </cell>
          <cell r="D1161" t="e">
            <v>#REF!</v>
          </cell>
          <cell r="E1161" t="e">
            <v>#REF!</v>
          </cell>
          <cell r="F1161" t="e">
            <v>#REF!</v>
          </cell>
          <cell r="G1161" t="e">
            <v>#REF!</v>
          </cell>
          <cell r="H1161" t="e">
            <v>#REF!</v>
          </cell>
        </row>
        <row r="1162">
          <cell r="A1162" t="e">
            <v>#REF!</v>
          </cell>
          <cell r="B1162" t="e">
            <v>#REF!</v>
          </cell>
          <cell r="C1162" t="e">
            <v>#REF!</v>
          </cell>
          <cell r="D1162" t="e">
            <v>#REF!</v>
          </cell>
          <cell r="E1162" t="e">
            <v>#REF!</v>
          </cell>
          <cell r="F1162" t="e">
            <v>#REF!</v>
          </cell>
          <cell r="G1162" t="e">
            <v>#REF!</v>
          </cell>
          <cell r="H1162" t="e">
            <v>#REF!</v>
          </cell>
        </row>
        <row r="1163">
          <cell r="A1163" t="e">
            <v>#REF!</v>
          </cell>
          <cell r="B1163" t="e">
            <v>#REF!</v>
          </cell>
          <cell r="C1163" t="e">
            <v>#REF!</v>
          </cell>
          <cell r="D1163" t="e">
            <v>#REF!</v>
          </cell>
          <cell r="E1163" t="e">
            <v>#REF!</v>
          </cell>
          <cell r="F1163" t="e">
            <v>#REF!</v>
          </cell>
          <cell r="G1163" t="e">
            <v>#REF!</v>
          </cell>
          <cell r="H1163" t="e">
            <v>#REF!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"/>
      <sheetName val="C301"/>
      <sheetName val="C302"/>
      <sheetName val="C303"/>
      <sheetName val="C304"/>
      <sheetName val="C305"/>
      <sheetName val="C306"/>
      <sheetName val="C307"/>
      <sheetName val="C308"/>
      <sheetName val="C309"/>
      <sheetName val="C310"/>
      <sheetName val="C311"/>
      <sheetName val="C312"/>
      <sheetName val="C313"/>
      <sheetName val="C314"/>
      <sheetName val="C315"/>
      <sheetName val="C316"/>
      <sheetName val="C317"/>
      <sheetName val="C318"/>
      <sheetName val="C319"/>
      <sheetName val="C320"/>
      <sheetName val="C321"/>
      <sheetName val="C322"/>
      <sheetName val="C323"/>
      <sheetName val="C324"/>
      <sheetName val="C325"/>
      <sheetName val="C326"/>
      <sheetName val="C327"/>
      <sheetName val="C328"/>
      <sheetName val="C329"/>
      <sheetName val="C330"/>
      <sheetName val="C331"/>
      <sheetName val="C332"/>
      <sheetName val="C333"/>
      <sheetName val="C334"/>
      <sheetName val="C335"/>
      <sheetName val="C336"/>
      <sheetName val="C401"/>
      <sheetName val="C402"/>
      <sheetName val="C403"/>
      <sheetName val="C404"/>
      <sheetName val="C405"/>
      <sheetName val="C406"/>
      <sheetName val="C407"/>
      <sheetName val="C408"/>
      <sheetName val="C409"/>
      <sheetName val="C410"/>
      <sheetName val="C411"/>
      <sheetName val="C412"/>
      <sheetName val="C413"/>
      <sheetName val="C414"/>
      <sheetName val="C415"/>
      <sheetName val="Presupuesto"/>
      <sheetName val="ANALI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maldonado" id="{FAE92B07-3802-9C14-E72B-862E4533427F}" userId="smaldonado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6-09-04T14:23:10.49Z" personId="{FAE92B07-3802-9C14-E72B-862E4533427F}" id="{E3F617F8-C4C2-952C-F7DA-A0164FBC1124}" done="0">
    <text xml:space="preserve">Código de control de calidad
</text>
  </threadedComment>
  <threadedComment ref="P2" dT="2026-09-04T14:23:17.88Z" personId="{FAE92B07-3802-9C14-E72B-862E4533427F}" id="{EABC1A65-D19F-CA44-D315-C169B32D76B9}" done="0">
    <text xml:space="preserve">Registro de diseño
</text>
  </threadedComment>
  <threadedComment ref="B13" dT="2026-09-04T14:22:25.67Z" personId="{FAE92B07-3802-9C14-E72B-862E4533427F}" id="{2B363851-B24D-4A0F-3172-92576AECD7BE}" done="0">
    <text xml:space="preserve">Ancho del ducto en pulgadas
</text>
  </threadedComment>
  <threadedComment ref="C13" dT="2026-09-04T14:22:39.75Z" personId="{FAE92B07-3802-9C14-E72B-862E4533427F}" id="{AB09B8C8-88FB-2C5A-4CD3-F23EE77DBD85}" done="0">
    <text xml:space="preserve">Alto en pulgadas
</text>
  </threadedComment>
  <threadedComment ref="B5" dT="2026-09-04T14:22:52.44Z" personId="{FAE92B07-3802-9C14-E72B-862E4533427F}" id="{7AEB2087-A428-3665-881C-76339DF3734D}" done="0">
    <text xml:space="preserve">Se inyecta aire, se escoge porque &gt; 1500 se escucha ruidos molestos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90" workbookViewId="0">
      <selection activeCell="G7" activeCellId="0" sqref="G7"/>
    </sheetView>
  </sheetViews>
  <sheetFormatPr baseColWidth="10" defaultColWidth="11.44140625" defaultRowHeight="15.75" outlineLevelRow="1"/>
  <cols>
    <col customWidth="1" min="1" max="1" style="2" width="8"/>
    <col customWidth="1" min="2" max="2" style="1" width="14.6640625"/>
    <col min="3" max="3" style="1" width="11.44140625"/>
    <col customWidth="1" min="4" max="4" style="1" width="12.5546875"/>
    <col customWidth="1" min="5" max="5" style="1" width="14.109375"/>
    <col customWidth="1" hidden="1" min="6" max="6" style="3" width="14.109375"/>
    <col customWidth="1" min="7" max="7" style="1" width="16.88671875"/>
    <col customWidth="1" min="8" max="8" style="1" width="6.88671875"/>
    <col customWidth="1" min="9" max="9" style="1" width="14.6640625"/>
    <col customWidth="1" min="10" max="10" style="1" width="16"/>
    <col customWidth="1" min="11" max="11" style="4" width="12.5546875"/>
    <col customWidth="1" min="12" max="12" style="4" width="16.33203125"/>
    <col customWidth="1" min="13" max="13" style="4" width="13.5546875"/>
    <col customWidth="1" min="14" max="14" style="4" width="9.5546875"/>
    <col customWidth="1" min="15" max="15" style="4" width="12.109375"/>
    <col customWidth="1" min="16" max="16" style="4" width="13.44140625"/>
    <col customWidth="1" min="17" max="17" style="1" width="12.5546875"/>
    <col customWidth="1" min="18" max="19" style="5" width="11.44140625"/>
    <col customWidth="1" min="20" max="20" style="1" width="17.6640625"/>
    <col customWidth="1" min="21" max="21" style="1" width="18.5546875"/>
    <col customWidth="1" min="22" max="23" style="6" width="18.5546875"/>
    <col customWidth="1" min="24" max="24" style="1" width="18.5546875"/>
    <col min="25" max="16384" style="1" width="11.44140625"/>
  </cols>
  <sheetData>
    <row r="1">
      <c r="O1" s="7" t="s">
        <v>0</v>
      </c>
      <c r="P1" s="7"/>
      <c r="Q1" s="1"/>
    </row>
    <row r="2">
      <c r="O2" s="7" t="s">
        <v>1</v>
      </c>
      <c r="P2" s="7"/>
      <c r="Q2" s="1"/>
    </row>
    <row r="3" outlineLevel="1">
      <c r="B3" s="1" t="s">
        <v>2</v>
      </c>
      <c r="J3" s="1" t="s">
        <v>3</v>
      </c>
      <c r="O3" s="7"/>
      <c r="P3" s="7"/>
    </row>
    <row r="4" outlineLevel="1">
      <c r="B4" s="1" t="s">
        <v>4</v>
      </c>
      <c r="J4" s="1" t="s">
        <v>5</v>
      </c>
      <c r="O4" s="7"/>
      <c r="P4" s="7"/>
    </row>
    <row r="5" outlineLevel="1">
      <c r="B5" s="1" t="s">
        <v>6</v>
      </c>
      <c r="J5" s="1" t="s">
        <v>7</v>
      </c>
      <c r="K5" s="4"/>
      <c r="O5" s="7"/>
      <c r="P5" s="7"/>
    </row>
    <row r="6" outlineLevel="1">
      <c r="B6" s="1" t="s">
        <v>8</v>
      </c>
      <c r="J6" s="1" t="s">
        <v>7</v>
      </c>
      <c r="O6" s="7"/>
      <c r="P6" s="7"/>
    </row>
    <row r="7" outlineLevel="1">
      <c r="B7" s="1" t="s">
        <v>9</v>
      </c>
      <c r="J7" s="1" t="s">
        <v>7</v>
      </c>
      <c r="O7" s="7"/>
      <c r="P7" s="7"/>
    </row>
    <row r="8" outlineLevel="1">
      <c r="O8" s="7"/>
      <c r="P8" s="7"/>
    </row>
    <row r="9" outlineLevel="1">
      <c r="G9" s="6"/>
      <c r="O9" s="7"/>
      <c r="P9" s="7"/>
    </row>
    <row r="10" ht="24.899999999999999" customHeight="1">
      <c r="B10" s="8" t="s">
        <v>10</v>
      </c>
      <c r="C10" s="4"/>
      <c r="D10" s="4"/>
      <c r="E10" s="4"/>
      <c r="F10" s="9"/>
      <c r="G10" s="4"/>
      <c r="H10" s="4"/>
      <c r="I10" s="4"/>
      <c r="J10" s="10"/>
      <c r="L10" s="11"/>
      <c r="M10" s="12"/>
    </row>
    <row r="11" ht="21.75" customHeight="1">
      <c r="B11" s="13" t="s">
        <v>11</v>
      </c>
      <c r="C11" s="4"/>
      <c r="D11" s="4"/>
      <c r="E11" s="4"/>
      <c r="F11" s="9"/>
      <c r="G11" s="4"/>
      <c r="H11" s="4"/>
      <c r="J11" s="13" t="s">
        <v>12</v>
      </c>
      <c r="Q11" s="1">
        <f>40/25.4</f>
        <v>1.5748031496062993</v>
      </c>
    </row>
    <row r="12" ht="16.5">
      <c r="B12" s="14" t="s">
        <v>6</v>
      </c>
      <c r="C12" s="14"/>
      <c r="D12" s="14"/>
      <c r="E12" s="14"/>
      <c r="F12" s="14"/>
      <c r="G12" s="14"/>
      <c r="H12" s="15"/>
      <c r="J12" s="16" t="str">
        <f>IF(B12="Ductos de extracción en tol","1500",IF(B12="Ductos de inyección en tol","1300",IF(B12="Ductos con PIRALU","1300",IF(B12="AA ductos con aislamiento interno","1300",IF(B12="AA ductos con aislamiento externo","1300",IF(B12="","Seleccione tipo de aplicación"))))))</f>
        <v>1300</v>
      </c>
      <c r="K12" s="16" t="str">
        <f>IF(B12="Ductos de extracción en tol","2000",IF(B12="Ductos de inyección en tol","1700",IF(B12="Ductos con PIRALU","1500",IF(B12="AA ductos con aislamiento interno","1500",IF(B12="AA ductos con aislamiento externo","1500",IF(B12="","Seleccione tipo de aplicación"))))))</f>
        <v>1500</v>
      </c>
      <c r="L12" s="17" t="str">
        <f>IF(B12="Ductos en lana de vidrio ","La velocidad se calcula con las dimenciones interiores",IF(B12="AA ductos con aislamiento interno","La velocidad se calcula con las dimensiones intriores",""))</f>
        <v/>
      </c>
    </row>
    <row r="13">
      <c r="A13" s="2" t="s">
        <v>13</v>
      </c>
      <c r="B13" s="18" t="s">
        <v>14</v>
      </c>
      <c r="C13" s="19" t="s">
        <v>15</v>
      </c>
      <c r="D13" s="20" t="s">
        <v>16</v>
      </c>
      <c r="E13" s="21" t="s">
        <v>17</v>
      </c>
      <c r="F13" s="22" t="s">
        <v>18</v>
      </c>
      <c r="G13" s="20" t="s">
        <v>19</v>
      </c>
      <c r="H13" s="19"/>
      <c r="I13" s="19" t="s">
        <v>20</v>
      </c>
      <c r="J13" s="23" t="s">
        <v>21</v>
      </c>
      <c r="K13" s="24" t="s">
        <v>22</v>
      </c>
      <c r="L13" s="25" t="s">
        <v>23</v>
      </c>
      <c r="M13" s="26" t="s">
        <v>24</v>
      </c>
      <c r="N13" s="27"/>
      <c r="O13" s="27"/>
      <c r="P13" s="27"/>
      <c r="Q13" s="28" t="s">
        <v>25</v>
      </c>
      <c r="R13" s="23" t="s">
        <v>14</v>
      </c>
      <c r="S13" s="29" t="s">
        <v>15</v>
      </c>
    </row>
    <row r="14" ht="13.800000000000001">
      <c r="B14" s="30" t="s">
        <v>26</v>
      </c>
      <c r="C14" s="31" t="s">
        <v>26</v>
      </c>
      <c r="D14" s="32" t="s">
        <v>27</v>
      </c>
      <c r="E14" s="33" t="s">
        <v>28</v>
      </c>
      <c r="F14" s="34" t="s">
        <v>29</v>
      </c>
      <c r="G14" s="35" t="s">
        <v>30</v>
      </c>
      <c r="H14" s="31"/>
      <c r="I14" s="31" t="s">
        <v>31</v>
      </c>
      <c r="J14" s="36" t="s">
        <v>32</v>
      </c>
      <c r="K14" s="37" t="s">
        <v>33</v>
      </c>
      <c r="L14" s="31" t="s">
        <v>33</v>
      </c>
      <c r="M14" s="38">
        <v>4.4305047272727265</v>
      </c>
      <c r="N14" s="39">
        <v>5.6530501818181804</v>
      </c>
      <c r="O14" s="39">
        <v>6.8755956363636344</v>
      </c>
      <c r="P14" s="40">
        <v>8.0981410909090883</v>
      </c>
      <c r="Q14" s="41" t="s">
        <v>34</v>
      </c>
      <c r="R14" s="35" t="s">
        <v>35</v>
      </c>
      <c r="S14" s="42" t="s">
        <v>35</v>
      </c>
    </row>
    <row r="15" s="5" customFormat="1" ht="27" customHeight="1">
      <c r="A15" s="2"/>
      <c r="B15" s="43"/>
      <c r="C15" s="43"/>
      <c r="D15" s="43"/>
      <c r="E15" s="44"/>
      <c r="F15" s="45"/>
      <c r="G15" s="46"/>
      <c r="H15" s="10"/>
      <c r="I15" s="47"/>
      <c r="J15" s="48"/>
      <c r="K15" s="10"/>
      <c r="L15" s="4"/>
      <c r="M15" s="49" t="s">
        <v>36</v>
      </c>
      <c r="N15" s="49" t="s">
        <v>37</v>
      </c>
      <c r="O15" s="49" t="s">
        <v>38</v>
      </c>
      <c r="P15" s="49" t="s">
        <v>39</v>
      </c>
      <c r="Q15" s="1"/>
      <c r="T15" s="50" t="s">
        <v>40</v>
      </c>
      <c r="U15" s="51" t="s">
        <v>41</v>
      </c>
      <c r="V15" s="52"/>
      <c r="W15" s="52"/>
    </row>
    <row r="16" s="53" customFormat="1">
      <c r="A16" s="2"/>
      <c r="B16" s="54"/>
      <c r="C16" s="54"/>
      <c r="D16" s="54"/>
      <c r="E16" s="54">
        <f>E19/4</f>
        <v>300</v>
      </c>
      <c r="F16" s="55"/>
      <c r="G16" s="56"/>
      <c r="H16" s="56"/>
      <c r="I16" s="57">
        <f>(B16+C16)*2*0.0254*D16</f>
        <v>0</v>
      </c>
      <c r="J16" s="54">
        <f>IF(OR(B16&gt;32,C16&gt;32),IF(OR(B16&gt;54,C16&gt;54),IF(OR(B16&gt;84,C16&gt;84),8.1,6.88),5.65),4.43)</f>
        <v>4.4299999999999997</v>
      </c>
      <c r="K16" s="58">
        <f>+IF(B16&gt;60,0,IF(C16&gt;60,0,I16*J16))</f>
        <v>0</v>
      </c>
      <c r="L16" s="59">
        <f>+IF(B16&gt;60,I16*J16,IF(C16&gt;60,I16*J16,0))</f>
        <v>0</v>
      </c>
      <c r="M16" s="60">
        <f>+IF(J16=4.43,+K16,0)</f>
        <v>0</v>
      </c>
      <c r="N16" s="60">
        <f>+IF(J16=5.65,+K16,0)</f>
        <v>0</v>
      </c>
      <c r="O16" s="60">
        <f>+IF(J16=6.88,IF(K16=0,+L16)+K16,0)</f>
        <v>0</v>
      </c>
      <c r="P16" s="60">
        <f>+IF(J16=8.1,+L16,0)</f>
        <v>0</v>
      </c>
      <c r="Q16" s="53" t="str">
        <f>IF(B16&lt;&gt;"",IF($B$12="Ductos en lana de vidrio ",(ROUNDDOWN(1.3*(POWER(((B16-2)*(C16-2)),0.625)/POWER(((B16-2)+(C16-2)),0.25)),0)),IF($B$12="Aa ductos con aislamiento interno",(ROUNDDOWN(1.3*(POWER(((B16-2)*(C16-2)),0.625)/POWER(((B16-2)+(C16-2)),0.25)),0)),(ROUNDDOWN(1.3*(POWER((B16*C16),0.625)/POWER((B16+C16),0.25)),0)))),"")</f>
        <v/>
      </c>
      <c r="R16" s="5"/>
      <c r="S16" s="5"/>
      <c r="T16" s="53" t="str">
        <f t="shared" ref="T16:T79" si="0">IF(B16&lt;&gt;"",(G16*G16)/(4005*4005),"")</f>
        <v/>
      </c>
      <c r="U16" s="6" t="str">
        <f t="shared" ref="U16:U79" si="1">IF(T16&lt;&gt;"",T16*250,"")</f>
        <v/>
      </c>
    </row>
    <row r="17" s="53" customFormat="1" collapsed="1">
      <c r="A17" s="2">
        <v>1</v>
      </c>
      <c r="B17" s="61" t="s">
        <v>42</v>
      </c>
      <c r="C17" s="62"/>
      <c r="D17" s="62"/>
      <c r="E17" s="63"/>
      <c r="F17" s="63"/>
      <c r="G17" s="64"/>
      <c r="H17" s="64"/>
      <c r="I17" s="63"/>
      <c r="J17" s="63"/>
      <c r="K17" s="65"/>
      <c r="L17" s="66"/>
      <c r="M17" s="67"/>
      <c r="N17" s="67"/>
      <c r="O17" s="67"/>
      <c r="P17" s="67"/>
      <c r="R17" s="68"/>
      <c r="S17" s="68"/>
      <c r="T17" s="53">
        <f t="shared" si="0"/>
        <v>0</v>
      </c>
      <c r="U17" s="6">
        <f t="shared" si="1"/>
        <v>0</v>
      </c>
    </row>
    <row r="18" s="53" customFormat="1" outlineLevel="1">
      <c r="A18" s="2">
        <f t="shared" ref="A18:A81" si="2">A17+1</f>
        <v>2</v>
      </c>
      <c r="B18" s="57">
        <v>32</v>
      </c>
      <c r="C18" s="57">
        <v>10</v>
      </c>
      <c r="D18" s="57">
        <f>12.6+5.23+1.2</f>
        <v>19.029999999999998</v>
      </c>
      <c r="E18" s="57">
        <f>60000/30</f>
        <v>2000</v>
      </c>
      <c r="F18" s="55"/>
      <c r="G18" s="69">
        <f t="shared" ref="G18:G81" si="3">IF(B18&lt;&gt;"",(ROUNDDOWN(E18/((POWER((Q18/12),2))*(3.1416/4)),2)),"")</f>
        <v>1317.51</v>
      </c>
      <c r="H18" s="56"/>
      <c r="I18" s="57">
        <f t="shared" ref="I18:I81" si="4">(B18+C18)*2*0.0254*D18</f>
        <v>40.602407999999997</v>
      </c>
      <c r="J18" s="54">
        <f t="shared" ref="J18:J81" si="5">IF(OR(B18&gt;32,C18&gt;32),IF(OR(B18&gt;54,C18&gt;54),IF(OR(B18&gt;84,C18&gt;84),8.1,6.88),5.65),4.43)</f>
        <v>4.4299999999999997</v>
      </c>
      <c r="K18" s="58">
        <f t="shared" ref="K18:K81" si="6">+IF(B18&gt;60,0,IF(C18&gt;60,0,I18*J18))</f>
        <v>179.86866743999997</v>
      </c>
      <c r="L18" s="59">
        <f t="shared" ref="L18:L81" si="7">+IF(B18&gt;60,I18*J18,IF(C18&gt;60,I18*J18,0))</f>
        <v>0</v>
      </c>
      <c r="M18" s="60">
        <f t="shared" ref="M18:M81" si="8">+IF(J18=4.43,+K18,0)</f>
        <v>179.86866743999997</v>
      </c>
      <c r="N18" s="70">
        <f t="shared" ref="N18:N81" si="9">+IF(J18=5.65,+K18,0)</f>
        <v>0</v>
      </c>
      <c r="O18" s="60">
        <f t="shared" ref="O18:O81" si="10">+IF(J18=6.88,IF(K18=0,+L18)+K18,0)</f>
        <v>0</v>
      </c>
      <c r="P18" s="60">
        <f t="shared" ref="P18:P81" si="11">+IF(J18=8.1,+L18,0)</f>
        <v>0</v>
      </c>
      <c r="Q18" s="71">
        <f t="shared" ref="Q18:Q81" si="12">IF(B18&lt;&gt;"",IF($B$12="Ductos con PIRALU",(ROUNDDOWN(1.3*(POWER(((B18-1.57)*(C18-1.57)),0.625)/POWER(((B18-1.57)+(C18-1.57)),0.25)),5)),IF($B$12="AA ductos con aislamiento interno",(ROUNDDOWN(1.3*(POWER(((B18-0.5)*(C18-0.5)),0.625)/POWER(((B18-0.5)+(C18-0.5)),0.25)),5)),(ROUNDDOWN(1.3*(POWER((B18*C18),0.625)/POWER((B18+C18),0.25)),5)))),"")</f>
        <v>16.682969999999997</v>
      </c>
      <c r="R18" s="68">
        <f t="shared" ref="R18:S81" si="13">B18*0.0254</f>
        <v>0.81279999999999997</v>
      </c>
      <c r="S18" s="68">
        <f t="shared" si="13"/>
        <v>0.254</v>
      </c>
      <c r="T18" s="53">
        <f t="shared" si="0"/>
        <v>0.10821882136093927</v>
      </c>
      <c r="U18" s="6">
        <f t="shared" si="1"/>
        <v>27.054705340234818</v>
      </c>
    </row>
    <row r="19" s="72" customFormat="1" outlineLevel="1">
      <c r="A19" s="2">
        <f t="shared" si="2"/>
        <v>3</v>
      </c>
      <c r="B19" s="57">
        <v>52</v>
      </c>
      <c r="C19" s="57">
        <v>30</v>
      </c>
      <c r="D19" s="57">
        <v>5.5</v>
      </c>
      <c r="E19" s="57">
        <v>1200</v>
      </c>
      <c r="F19" s="55"/>
      <c r="G19" s="69">
        <f t="shared" si="3"/>
        <v>131.03999999999999</v>
      </c>
      <c r="H19" s="56"/>
      <c r="I19" s="57">
        <f t="shared" si="4"/>
        <v>22.910799999999998</v>
      </c>
      <c r="J19" s="54">
        <f t="shared" si="5"/>
        <v>5.6500000000000004</v>
      </c>
      <c r="K19" s="58">
        <f t="shared" si="6"/>
        <v>129.44602</v>
      </c>
      <c r="L19" s="59">
        <f t="shared" si="7"/>
        <v>0</v>
      </c>
      <c r="M19" s="60">
        <f t="shared" si="8"/>
        <v>0</v>
      </c>
      <c r="N19" s="70">
        <f t="shared" si="9"/>
        <v>129.44602</v>
      </c>
      <c r="O19" s="60">
        <f t="shared" si="10"/>
        <v>0</v>
      </c>
      <c r="P19" s="60">
        <f t="shared" si="11"/>
        <v>0</v>
      </c>
      <c r="Q19" s="71">
        <f t="shared" si="12"/>
        <v>40.975119999999997</v>
      </c>
      <c r="R19" s="68">
        <f t="shared" si="13"/>
        <v>1.3208</v>
      </c>
      <c r="S19" s="68">
        <f t="shared" si="13"/>
        <v>0.76200000000000001</v>
      </c>
      <c r="T19" s="53">
        <f t="shared" si="0"/>
        <v>1.0705395783360686e-003</v>
      </c>
      <c r="U19" s="6">
        <f t="shared" si="1"/>
        <v>0.26763489458401718</v>
      </c>
    </row>
    <row r="20" s="53" customFormat="1" outlineLevel="1">
      <c r="A20" s="2">
        <f t="shared" si="2"/>
        <v>4</v>
      </c>
      <c r="B20" s="57">
        <v>52</v>
      </c>
      <c r="C20" s="57">
        <v>26</v>
      </c>
      <c r="D20" s="57">
        <v>5.5</v>
      </c>
      <c r="E20" s="57">
        <f>E19-E16</f>
        <v>900</v>
      </c>
      <c r="F20" s="55"/>
      <c r="G20" s="69">
        <f t="shared" si="3"/>
        <v>115.74000000000001</v>
      </c>
      <c r="H20" s="56"/>
      <c r="I20" s="57">
        <f t="shared" si="4"/>
        <v>21.793199999999999</v>
      </c>
      <c r="J20" s="54">
        <f t="shared" si="5"/>
        <v>5.6500000000000004</v>
      </c>
      <c r="K20" s="58">
        <f t="shared" si="6"/>
        <v>123.13158</v>
      </c>
      <c r="L20" s="59">
        <f t="shared" si="7"/>
        <v>0</v>
      </c>
      <c r="M20" s="60">
        <f t="shared" si="8"/>
        <v>0</v>
      </c>
      <c r="N20" s="70">
        <f t="shared" si="9"/>
        <v>123.13158</v>
      </c>
      <c r="O20" s="60">
        <f t="shared" si="10"/>
        <v>0</v>
      </c>
      <c r="P20" s="60">
        <f t="shared" si="11"/>
        <v>0</v>
      </c>
      <c r="Q20" s="71">
        <f t="shared" si="12"/>
        <v>37.758399999999995</v>
      </c>
      <c r="R20" s="68">
        <f t="shared" si="13"/>
        <v>1.3208</v>
      </c>
      <c r="S20" s="68">
        <f t="shared" si="13"/>
        <v>0.66039999999999999</v>
      </c>
      <c r="T20" s="53">
        <f t="shared" si="0"/>
        <v>8.3514505744224229e-004</v>
      </c>
      <c r="U20" s="6">
        <f t="shared" si="1"/>
        <v>0.20878626436056058</v>
      </c>
    </row>
    <row r="21" s="53" customFormat="1" outlineLevel="1">
      <c r="A21" s="2">
        <f t="shared" si="2"/>
        <v>5</v>
      </c>
      <c r="B21" s="57">
        <v>52</v>
      </c>
      <c r="C21" s="57">
        <v>24</v>
      </c>
      <c r="D21" s="57">
        <v>5.5</v>
      </c>
      <c r="E21" s="57">
        <f>E20-E16</f>
        <v>600</v>
      </c>
      <c r="F21" s="55"/>
      <c r="G21" s="69">
        <f t="shared" si="3"/>
        <v>84.689999999999998</v>
      </c>
      <c r="H21" s="56"/>
      <c r="I21" s="57">
        <f t="shared" si="4"/>
        <v>21.234399999999997</v>
      </c>
      <c r="J21" s="54">
        <f t="shared" si="5"/>
        <v>5.6500000000000004</v>
      </c>
      <c r="K21" s="58">
        <f t="shared" si="6"/>
        <v>119.97435999999999</v>
      </c>
      <c r="L21" s="59">
        <f t="shared" si="7"/>
        <v>0</v>
      </c>
      <c r="M21" s="60">
        <f t="shared" si="8"/>
        <v>0</v>
      </c>
      <c r="N21" s="70">
        <f t="shared" si="9"/>
        <v>119.97435999999999</v>
      </c>
      <c r="O21" s="60">
        <f t="shared" si="10"/>
        <v>0</v>
      </c>
      <c r="P21" s="60">
        <f t="shared" si="11"/>
        <v>0</v>
      </c>
      <c r="Q21" s="71">
        <f t="shared" si="12"/>
        <v>36.03877</v>
      </c>
      <c r="R21" s="68">
        <f t="shared" si="13"/>
        <v>1.3208</v>
      </c>
      <c r="S21" s="68">
        <f t="shared" si="13"/>
        <v>0.60959999999999992</v>
      </c>
      <c r="T21" s="53">
        <f t="shared" si="0"/>
        <v>4.4715616715061229e-004</v>
      </c>
      <c r="U21" s="6">
        <f t="shared" si="1"/>
        <v>0.11178904178765307</v>
      </c>
    </row>
    <row r="22" s="53" customFormat="1" outlineLevel="1">
      <c r="A22" s="2">
        <f t="shared" si="2"/>
        <v>6</v>
      </c>
      <c r="B22" s="57">
        <v>46</v>
      </c>
      <c r="C22" s="57">
        <v>24</v>
      </c>
      <c r="D22" s="73">
        <v>4.5</v>
      </c>
      <c r="E22" s="57">
        <f>E21-E16</f>
        <v>300</v>
      </c>
      <c r="F22" s="55"/>
      <c r="G22" s="69">
        <f t="shared" si="3"/>
        <v>47.520000000000003</v>
      </c>
      <c r="H22" s="56"/>
      <c r="I22" s="57">
        <f t="shared" si="4"/>
        <v>16.001999999999999</v>
      </c>
      <c r="J22" s="54">
        <v>4.4299999999999997</v>
      </c>
      <c r="K22" s="58">
        <f t="shared" si="6"/>
        <v>70.888859999999994</v>
      </c>
      <c r="L22" s="59">
        <f t="shared" si="7"/>
        <v>0</v>
      </c>
      <c r="M22" s="60">
        <f t="shared" si="8"/>
        <v>70.888859999999994</v>
      </c>
      <c r="N22" s="70">
        <f t="shared" si="9"/>
        <v>0</v>
      </c>
      <c r="O22" s="60">
        <f t="shared" si="10"/>
        <v>0</v>
      </c>
      <c r="P22" s="60">
        <f t="shared" si="11"/>
        <v>0</v>
      </c>
      <c r="Q22" s="71">
        <f t="shared" si="12"/>
        <v>34.018699999999995</v>
      </c>
      <c r="R22" s="68">
        <f t="shared" si="13"/>
        <v>1.1683999999999999</v>
      </c>
      <c r="S22" s="68">
        <f t="shared" si="13"/>
        <v>0.60959999999999992</v>
      </c>
      <c r="T22" s="53">
        <f t="shared" si="0"/>
        <v>1.4078222446660779e-004</v>
      </c>
      <c r="U22" s="6">
        <f t="shared" si="1"/>
        <v>3.5195556116651948e-002</v>
      </c>
    </row>
    <row r="23" s="53" customFormat="1" outlineLevel="1">
      <c r="A23" s="2"/>
      <c r="B23" s="57">
        <v>46</v>
      </c>
      <c r="C23" s="57">
        <v>22</v>
      </c>
      <c r="D23" s="57">
        <v>4.5</v>
      </c>
      <c r="E23" s="57"/>
      <c r="F23" s="55"/>
      <c r="G23" s="69">
        <f t="shared" si="3"/>
        <v>0</v>
      </c>
      <c r="H23" s="56"/>
      <c r="I23" s="57">
        <f t="shared" si="4"/>
        <v>15.544799999999999</v>
      </c>
      <c r="J23" s="54">
        <f t="shared" si="5"/>
        <v>5.6500000000000004</v>
      </c>
      <c r="K23" s="58">
        <f t="shared" si="6"/>
        <v>87.828119999999998</v>
      </c>
      <c r="L23" s="59">
        <f t="shared" si="7"/>
        <v>0</v>
      </c>
      <c r="M23" s="60">
        <f t="shared" si="8"/>
        <v>0</v>
      </c>
      <c r="N23" s="60">
        <f t="shared" si="9"/>
        <v>87.828119999999998</v>
      </c>
      <c r="O23" s="60">
        <f t="shared" si="10"/>
        <v>0</v>
      </c>
      <c r="P23" s="60">
        <f t="shared" si="11"/>
        <v>0</v>
      </c>
      <c r="Q23" s="71">
        <f t="shared" si="12"/>
        <v>32.334379999999996</v>
      </c>
      <c r="R23" s="68">
        <f t="shared" si="13"/>
        <v>1.1683999999999999</v>
      </c>
      <c r="S23" s="68">
        <f t="shared" si="13"/>
        <v>0.55879999999999996</v>
      </c>
      <c r="T23" s="53">
        <f t="shared" si="0"/>
        <v>0</v>
      </c>
      <c r="U23" s="6">
        <f t="shared" si="1"/>
        <v>0</v>
      </c>
    </row>
    <row r="24" s="53" customFormat="1" outlineLevel="1">
      <c r="A24" s="2">
        <f t="shared" si="2"/>
        <v>1</v>
      </c>
      <c r="B24" s="57">
        <v>46</v>
      </c>
      <c r="C24" s="57">
        <v>20</v>
      </c>
      <c r="D24" s="57">
        <v>4.5</v>
      </c>
      <c r="E24" s="57"/>
      <c r="F24" s="55"/>
      <c r="G24" s="69">
        <f t="shared" si="3"/>
        <v>0</v>
      </c>
      <c r="H24" s="69"/>
      <c r="I24" s="57">
        <f t="shared" si="4"/>
        <v>15.087599999999998</v>
      </c>
      <c r="J24" s="54">
        <f t="shared" si="5"/>
        <v>5.6500000000000004</v>
      </c>
      <c r="K24" s="58">
        <f t="shared" si="6"/>
        <v>85.24494</v>
      </c>
      <c r="L24" s="59">
        <f t="shared" si="7"/>
        <v>0</v>
      </c>
      <c r="M24" s="60">
        <f t="shared" si="8"/>
        <v>0</v>
      </c>
      <c r="N24" s="60">
        <f t="shared" si="9"/>
        <v>85.24494</v>
      </c>
      <c r="O24" s="60">
        <f t="shared" si="10"/>
        <v>0</v>
      </c>
      <c r="P24" s="60">
        <f t="shared" si="11"/>
        <v>0</v>
      </c>
      <c r="Q24" s="71">
        <f t="shared" si="12"/>
        <v>30.556299999999997</v>
      </c>
      <c r="R24" s="68">
        <f t="shared" si="13"/>
        <v>1.1683999999999999</v>
      </c>
      <c r="S24" s="68">
        <f t="shared" si="13"/>
        <v>0.50800000000000001</v>
      </c>
      <c r="T24" s="53">
        <f t="shared" si="0"/>
        <v>0</v>
      </c>
      <c r="U24" s="6">
        <f t="shared" si="1"/>
        <v>0</v>
      </c>
    </row>
    <row r="25" s="53" customFormat="1" outlineLevel="1">
      <c r="A25" s="2">
        <f t="shared" si="2"/>
        <v>2</v>
      </c>
      <c r="B25" s="57">
        <v>38</v>
      </c>
      <c r="C25" s="57">
        <v>20</v>
      </c>
      <c r="D25" s="57">
        <v>4.5</v>
      </c>
      <c r="E25" s="57"/>
      <c r="F25" s="55"/>
      <c r="G25" s="69">
        <f t="shared" si="3"/>
        <v>0</v>
      </c>
      <c r="H25" s="69"/>
      <c r="I25" s="57">
        <f t="shared" si="4"/>
        <v>13.258799999999999</v>
      </c>
      <c r="J25" s="54">
        <f t="shared" si="5"/>
        <v>5.6500000000000004</v>
      </c>
      <c r="K25" s="58">
        <f t="shared" si="6"/>
        <v>74.912220000000005</v>
      </c>
      <c r="L25" s="59">
        <f t="shared" si="7"/>
        <v>0</v>
      </c>
      <c r="M25" s="60">
        <f t="shared" si="8"/>
        <v>0</v>
      </c>
      <c r="N25" s="60">
        <f t="shared" si="9"/>
        <v>74.912220000000005</v>
      </c>
      <c r="O25" s="60">
        <f t="shared" si="10"/>
        <v>0</v>
      </c>
      <c r="P25" s="60">
        <f t="shared" si="11"/>
        <v>0</v>
      </c>
      <c r="Q25" s="71">
        <f t="shared" si="12"/>
        <v>27.925089999999997</v>
      </c>
      <c r="R25" s="68">
        <f t="shared" si="13"/>
        <v>0.96519999999999995</v>
      </c>
      <c r="S25" s="74">
        <f t="shared" si="13"/>
        <v>0.50800000000000001</v>
      </c>
      <c r="T25" s="53">
        <f t="shared" si="0"/>
        <v>0</v>
      </c>
      <c r="U25" s="6">
        <f t="shared" si="1"/>
        <v>0</v>
      </c>
    </row>
    <row r="26" s="53" customFormat="1" outlineLevel="1">
      <c r="A26" s="2">
        <f t="shared" si="2"/>
        <v>3</v>
      </c>
      <c r="B26" s="57">
        <v>34</v>
      </c>
      <c r="C26" s="57">
        <v>20</v>
      </c>
      <c r="D26" s="57">
        <v>3</v>
      </c>
      <c r="E26" s="57"/>
      <c r="F26" s="55"/>
      <c r="G26" s="69">
        <f t="shared" si="3"/>
        <v>0</v>
      </c>
      <c r="H26" s="69"/>
      <c r="I26" s="57">
        <f t="shared" si="4"/>
        <v>8.2295999999999996</v>
      </c>
      <c r="J26" s="54">
        <f t="shared" si="5"/>
        <v>5.6500000000000004</v>
      </c>
      <c r="K26" s="58">
        <f t="shared" si="6"/>
        <v>46.497239999999998</v>
      </c>
      <c r="L26" s="59">
        <f t="shared" si="7"/>
        <v>0</v>
      </c>
      <c r="M26" s="60">
        <f t="shared" si="8"/>
        <v>0</v>
      </c>
      <c r="N26" s="60">
        <f t="shared" si="9"/>
        <v>46.497239999999998</v>
      </c>
      <c r="O26" s="60">
        <f t="shared" si="10"/>
        <v>0</v>
      </c>
      <c r="P26" s="60">
        <f t="shared" si="11"/>
        <v>0</v>
      </c>
      <c r="Q26" s="71">
        <f t="shared" si="12"/>
        <v>26.463319999999996</v>
      </c>
      <c r="R26" s="68">
        <f t="shared" si="13"/>
        <v>0.86359999999999992</v>
      </c>
      <c r="S26" s="74">
        <f t="shared" si="13"/>
        <v>0.50800000000000001</v>
      </c>
      <c r="T26" s="53">
        <f t="shared" si="0"/>
        <v>0</v>
      </c>
      <c r="U26" s="6">
        <f t="shared" si="1"/>
        <v>0</v>
      </c>
    </row>
    <row r="27" s="53" customFormat="1" outlineLevel="1">
      <c r="A27" s="2">
        <f t="shared" si="2"/>
        <v>4</v>
      </c>
      <c r="B27" s="57">
        <v>34</v>
      </c>
      <c r="C27" s="57">
        <v>16</v>
      </c>
      <c r="D27" s="73">
        <v>3</v>
      </c>
      <c r="E27" s="73"/>
      <c r="F27" s="55"/>
      <c r="G27" s="69">
        <f t="shared" si="3"/>
        <v>0</v>
      </c>
      <c r="H27" s="69"/>
      <c r="I27" s="57">
        <f t="shared" si="4"/>
        <v>7.6200000000000001</v>
      </c>
      <c r="J27" s="54">
        <f t="shared" si="5"/>
        <v>5.6500000000000004</v>
      </c>
      <c r="K27" s="58">
        <f t="shared" si="6"/>
        <v>43.053000000000004</v>
      </c>
      <c r="L27" s="59">
        <f t="shared" si="7"/>
        <v>0</v>
      </c>
      <c r="M27" s="60">
        <f t="shared" si="8"/>
        <v>0</v>
      </c>
      <c r="N27" s="70">
        <f t="shared" si="9"/>
        <v>43.053000000000004</v>
      </c>
      <c r="O27" s="60">
        <f t="shared" si="10"/>
        <v>0</v>
      </c>
      <c r="P27" s="60">
        <f t="shared" si="11"/>
        <v>0</v>
      </c>
      <c r="Q27" s="71">
        <f t="shared" si="12"/>
        <v>23.180669999999999</v>
      </c>
      <c r="R27" s="68">
        <f t="shared" si="13"/>
        <v>0.86359999999999992</v>
      </c>
      <c r="S27" s="74">
        <f t="shared" si="13"/>
        <v>0.40639999999999998</v>
      </c>
      <c r="T27" s="53">
        <f t="shared" si="0"/>
        <v>0</v>
      </c>
      <c r="U27" s="6">
        <f t="shared" si="1"/>
        <v>0</v>
      </c>
    </row>
    <row r="28" s="53" customFormat="1" outlineLevel="1">
      <c r="A28" s="2">
        <f t="shared" si="2"/>
        <v>5</v>
      </c>
      <c r="B28" s="57">
        <v>24</v>
      </c>
      <c r="C28" s="57">
        <v>16</v>
      </c>
      <c r="D28" s="57">
        <v>3</v>
      </c>
      <c r="E28" s="57"/>
      <c r="F28" s="55"/>
      <c r="G28" s="69">
        <f t="shared" si="3"/>
        <v>0</v>
      </c>
      <c r="H28" s="69"/>
      <c r="I28" s="57">
        <f t="shared" si="4"/>
        <v>6.0960000000000001</v>
      </c>
      <c r="J28" s="54">
        <f t="shared" si="5"/>
        <v>4.4299999999999997</v>
      </c>
      <c r="K28" s="58">
        <f t="shared" si="6"/>
        <v>27.005279999999999</v>
      </c>
      <c r="L28" s="59">
        <f t="shared" si="7"/>
        <v>0</v>
      </c>
      <c r="M28" s="60">
        <f t="shared" si="8"/>
        <v>27.005279999999999</v>
      </c>
      <c r="N28" s="60">
        <f t="shared" si="9"/>
        <v>0</v>
      </c>
      <c r="O28" s="60">
        <f t="shared" si="10"/>
        <v>0</v>
      </c>
      <c r="P28" s="60">
        <f t="shared" si="11"/>
        <v>0</v>
      </c>
      <c r="Q28" s="71">
        <f t="shared" si="12"/>
        <v>19.54853</v>
      </c>
      <c r="R28" s="68">
        <f t="shared" si="13"/>
        <v>0.60959999999999992</v>
      </c>
      <c r="S28" s="74">
        <f t="shared" si="13"/>
        <v>0.40639999999999998</v>
      </c>
      <c r="T28" s="53">
        <f t="shared" si="0"/>
        <v>0</v>
      </c>
      <c r="U28" s="6">
        <f t="shared" si="1"/>
        <v>0</v>
      </c>
    </row>
    <row r="29" s="53" customFormat="1" outlineLevel="1">
      <c r="A29" s="2">
        <f t="shared" si="2"/>
        <v>6</v>
      </c>
      <c r="B29" s="57">
        <v>56</v>
      </c>
      <c r="C29" s="57">
        <v>30</v>
      </c>
      <c r="D29" s="73">
        <f>9+1.2</f>
        <v>10.199999999999999</v>
      </c>
      <c r="E29" s="73"/>
      <c r="F29" s="55"/>
      <c r="G29" s="69">
        <f t="shared" si="3"/>
        <v>0</v>
      </c>
      <c r="H29" s="69"/>
      <c r="I29" s="57">
        <f t="shared" si="4"/>
        <v>44.56176</v>
      </c>
      <c r="J29" s="54">
        <f t="shared" si="5"/>
        <v>6.8799999999999999</v>
      </c>
      <c r="K29" s="58">
        <f t="shared" si="6"/>
        <v>306.58490879999999</v>
      </c>
      <c r="L29" s="59">
        <f t="shared" si="7"/>
        <v>0</v>
      </c>
      <c r="M29" s="60">
        <f t="shared" si="8"/>
        <v>0</v>
      </c>
      <c r="N29" s="60">
        <f t="shared" si="9"/>
        <v>0</v>
      </c>
      <c r="O29" s="60">
        <f t="shared" si="10"/>
        <v>306.58490879999999</v>
      </c>
      <c r="P29" s="60">
        <f t="shared" si="11"/>
        <v>0</v>
      </c>
      <c r="Q29" s="71">
        <f t="shared" si="12"/>
        <v>42.448909999999998</v>
      </c>
      <c r="R29" s="68">
        <f t="shared" si="13"/>
        <v>1.4223999999999999</v>
      </c>
      <c r="S29" s="74">
        <f t="shared" si="13"/>
        <v>0.76200000000000001</v>
      </c>
      <c r="T29" s="53">
        <f t="shared" si="0"/>
        <v>0</v>
      </c>
      <c r="U29" s="6">
        <f t="shared" si="1"/>
        <v>0</v>
      </c>
    </row>
    <row r="30" s="53" customFormat="1" outlineLevel="1">
      <c r="A30" s="2">
        <f t="shared" si="2"/>
        <v>7</v>
      </c>
      <c r="B30" s="57"/>
      <c r="C30" s="57"/>
      <c r="D30" s="57"/>
      <c r="E30" s="57"/>
      <c r="F30" s="55"/>
      <c r="G30" s="69" t="str">
        <f t="shared" si="3"/>
        <v/>
      </c>
      <c r="H30" s="69"/>
      <c r="I30" s="57">
        <f t="shared" si="4"/>
        <v>0</v>
      </c>
      <c r="J30" s="54">
        <f t="shared" si="5"/>
        <v>4.4299999999999997</v>
      </c>
      <c r="K30" s="58">
        <f t="shared" si="6"/>
        <v>0</v>
      </c>
      <c r="L30" s="59">
        <f t="shared" si="7"/>
        <v>0</v>
      </c>
      <c r="M30" s="60">
        <f t="shared" si="8"/>
        <v>0</v>
      </c>
      <c r="N30" s="60">
        <f t="shared" si="9"/>
        <v>0</v>
      </c>
      <c r="O30" s="60">
        <f t="shared" si="10"/>
        <v>0</v>
      </c>
      <c r="P30" s="60">
        <f t="shared" si="11"/>
        <v>0</v>
      </c>
      <c r="Q30" s="71" t="str">
        <f t="shared" si="12"/>
        <v/>
      </c>
      <c r="R30" s="68">
        <f t="shared" si="13"/>
        <v>0</v>
      </c>
      <c r="S30" s="74">
        <f t="shared" si="13"/>
        <v>0</v>
      </c>
      <c r="T30" s="53" t="str">
        <f t="shared" si="0"/>
        <v/>
      </c>
      <c r="U30" s="6" t="str">
        <f t="shared" si="1"/>
        <v/>
      </c>
    </row>
    <row r="31" s="53" customFormat="1" outlineLevel="1">
      <c r="A31" s="2">
        <f t="shared" si="2"/>
        <v>8</v>
      </c>
      <c r="B31" s="57"/>
      <c r="C31" s="57"/>
      <c r="D31" s="57"/>
      <c r="E31" s="57"/>
      <c r="F31" s="55"/>
      <c r="G31" s="69" t="str">
        <f t="shared" si="3"/>
        <v/>
      </c>
      <c r="H31" s="69"/>
      <c r="I31" s="57">
        <f t="shared" si="4"/>
        <v>0</v>
      </c>
      <c r="J31" s="54">
        <f t="shared" si="5"/>
        <v>4.4299999999999997</v>
      </c>
      <c r="K31" s="58">
        <f t="shared" si="6"/>
        <v>0</v>
      </c>
      <c r="L31" s="59">
        <f t="shared" si="7"/>
        <v>0</v>
      </c>
      <c r="M31" s="60">
        <f t="shared" si="8"/>
        <v>0</v>
      </c>
      <c r="N31" s="60">
        <f t="shared" si="9"/>
        <v>0</v>
      </c>
      <c r="O31" s="60">
        <f t="shared" si="10"/>
        <v>0</v>
      </c>
      <c r="P31" s="60">
        <f t="shared" si="11"/>
        <v>0</v>
      </c>
      <c r="Q31" s="71" t="str">
        <f t="shared" si="12"/>
        <v/>
      </c>
      <c r="R31" s="68">
        <f t="shared" si="13"/>
        <v>0</v>
      </c>
      <c r="S31" s="74">
        <f t="shared" si="13"/>
        <v>0</v>
      </c>
      <c r="T31" s="53" t="str">
        <f t="shared" si="0"/>
        <v/>
      </c>
      <c r="U31" s="6" t="str">
        <f t="shared" si="1"/>
        <v/>
      </c>
    </row>
    <row r="32" s="53" customFormat="1" outlineLevel="1">
      <c r="A32" s="2">
        <f t="shared" si="2"/>
        <v>9</v>
      </c>
      <c r="B32" s="55">
        <v>16</v>
      </c>
      <c r="C32" s="55">
        <v>16</v>
      </c>
      <c r="D32" s="75">
        <f>24*0.45</f>
        <v>10.800000000000001</v>
      </c>
      <c r="E32" s="75">
        <v>666.65999999999997</v>
      </c>
      <c r="F32" s="55"/>
      <c r="G32" s="76">
        <f t="shared" si="3"/>
        <v>399.54000000000002</v>
      </c>
      <c r="H32" s="69"/>
      <c r="I32" s="57">
        <f t="shared" si="4"/>
        <v>17.556480000000001</v>
      </c>
      <c r="J32" s="54">
        <f t="shared" si="5"/>
        <v>4.4299999999999997</v>
      </c>
      <c r="K32" s="58">
        <f t="shared" si="6"/>
        <v>77.775206400000002</v>
      </c>
      <c r="L32" s="59">
        <f t="shared" si="7"/>
        <v>0</v>
      </c>
      <c r="M32" s="60">
        <f t="shared" si="8"/>
        <v>77.775206400000002</v>
      </c>
      <c r="N32" s="60">
        <f t="shared" si="9"/>
        <v>0</v>
      </c>
      <c r="O32" s="60">
        <f t="shared" si="10"/>
        <v>0</v>
      </c>
      <c r="P32" s="60">
        <f t="shared" si="11"/>
        <v>0</v>
      </c>
      <c r="Q32" s="71">
        <f t="shared" ref="Q32:Q41" si="14">IF(B32&lt;&gt;"",IF($B$12="Ductos con PIRALU",(ROUNDDOWN(1.3*(POWER(((B32)*(C32)),0.625)/POWER(((B32)+(C32)),0.25)),5)),IF($B$12="AA ductos con aislamiento interno",(ROUNDDOWN(1.3*(POWER(((B32-0.5)*(C32-0.5)),0.625)/POWER(((B32-0.5)+(C32-0.5)),0.25)),5)),(ROUNDDOWN(1.3*(POWER((B32*C32),0.625)/POWER((B32+C32),0.25)),5)))),"")</f>
        <v>17.490639999999999</v>
      </c>
      <c r="R32" s="68">
        <f t="shared" si="13"/>
        <v>0.40639999999999998</v>
      </c>
      <c r="S32" s="74">
        <f t="shared" si="13"/>
        <v>0.40639999999999998</v>
      </c>
      <c r="T32" s="53">
        <f t="shared" si="0"/>
        <v>9.952117381363184e-003</v>
      </c>
      <c r="U32" s="6">
        <f t="shared" si="1"/>
        <v>2.488029345340796</v>
      </c>
    </row>
    <row r="33" s="53" customFormat="1" outlineLevel="1">
      <c r="A33" s="2">
        <f t="shared" si="2"/>
        <v>10</v>
      </c>
      <c r="B33" s="77"/>
      <c r="C33" s="77"/>
      <c r="D33" s="77"/>
      <c r="E33" s="77">
        <v>666.65999999999997</v>
      </c>
      <c r="F33" s="77"/>
      <c r="G33" s="78" t="str">
        <f t="shared" si="3"/>
        <v/>
      </c>
      <c r="H33" s="69"/>
      <c r="I33" s="57">
        <f t="shared" si="4"/>
        <v>0</v>
      </c>
      <c r="J33" s="54">
        <f t="shared" si="5"/>
        <v>4.4299999999999997</v>
      </c>
      <c r="K33" s="58">
        <f t="shared" si="6"/>
        <v>0</v>
      </c>
      <c r="L33" s="59">
        <f t="shared" si="7"/>
        <v>0</v>
      </c>
      <c r="M33" s="60">
        <f t="shared" si="8"/>
        <v>0</v>
      </c>
      <c r="N33" s="60">
        <f t="shared" si="9"/>
        <v>0</v>
      </c>
      <c r="O33" s="60">
        <f t="shared" si="10"/>
        <v>0</v>
      </c>
      <c r="P33" s="60">
        <f t="shared" si="11"/>
        <v>0</v>
      </c>
      <c r="Q33" s="71" t="str">
        <f t="shared" si="14"/>
        <v/>
      </c>
      <c r="R33" s="79">
        <f t="shared" si="13"/>
        <v>0</v>
      </c>
      <c r="S33" s="79">
        <f t="shared" si="13"/>
        <v>0</v>
      </c>
      <c r="T33" s="53" t="str">
        <f t="shared" si="0"/>
        <v/>
      </c>
      <c r="U33" s="6" t="str">
        <f t="shared" si="1"/>
        <v/>
      </c>
    </row>
    <row r="34" s="53" customFormat="1" outlineLevel="1">
      <c r="A34" s="2">
        <f t="shared" si="2"/>
        <v>11</v>
      </c>
      <c r="B34" s="55">
        <v>24</v>
      </c>
      <c r="C34" s="55">
        <v>24</v>
      </c>
      <c r="D34" s="75">
        <f>16*0.35</f>
        <v>5.5999999999999996</v>
      </c>
      <c r="E34" s="75"/>
      <c r="F34" s="55"/>
      <c r="G34" s="76">
        <f t="shared" si="3"/>
        <v>0</v>
      </c>
      <c r="H34" s="69"/>
      <c r="I34" s="57">
        <f t="shared" si="4"/>
        <v>13.655039999999998</v>
      </c>
      <c r="J34" s="54">
        <f t="shared" si="5"/>
        <v>4.4299999999999997</v>
      </c>
      <c r="K34" s="58">
        <f t="shared" si="6"/>
        <v>60.491827199999989</v>
      </c>
      <c r="L34" s="59">
        <f t="shared" si="7"/>
        <v>0</v>
      </c>
      <c r="M34" s="60">
        <f t="shared" si="8"/>
        <v>60.491827199999989</v>
      </c>
      <c r="N34" s="60">
        <f t="shared" si="9"/>
        <v>0</v>
      </c>
      <c r="O34" s="60">
        <f t="shared" si="10"/>
        <v>0</v>
      </c>
      <c r="P34" s="60">
        <f t="shared" si="11"/>
        <v>0</v>
      </c>
      <c r="Q34" s="71">
        <f t="shared" si="14"/>
        <v>26.235959999999999</v>
      </c>
      <c r="R34" s="79">
        <f t="shared" si="13"/>
        <v>0.60959999999999992</v>
      </c>
      <c r="S34" s="79">
        <f t="shared" si="13"/>
        <v>0.60959999999999992</v>
      </c>
      <c r="T34" s="53">
        <f t="shared" si="0"/>
        <v>0</v>
      </c>
      <c r="U34" s="6">
        <f t="shared" si="1"/>
        <v>0</v>
      </c>
    </row>
    <row r="35" s="53" customFormat="1" outlineLevel="1">
      <c r="A35" s="2">
        <f t="shared" si="2"/>
        <v>12</v>
      </c>
      <c r="B35" s="77"/>
      <c r="C35" s="77"/>
      <c r="D35" s="77"/>
      <c r="E35" s="77"/>
      <c r="F35" s="77"/>
      <c r="G35" s="78" t="str">
        <f t="shared" si="3"/>
        <v/>
      </c>
      <c r="H35" s="69"/>
      <c r="I35" s="57">
        <f t="shared" si="4"/>
        <v>0</v>
      </c>
      <c r="J35" s="54">
        <f t="shared" si="5"/>
        <v>4.4299999999999997</v>
      </c>
      <c r="K35" s="58">
        <f t="shared" si="6"/>
        <v>0</v>
      </c>
      <c r="L35" s="59">
        <f t="shared" si="7"/>
        <v>0</v>
      </c>
      <c r="M35" s="60">
        <f t="shared" si="8"/>
        <v>0</v>
      </c>
      <c r="N35" s="60">
        <f t="shared" si="9"/>
        <v>0</v>
      </c>
      <c r="O35" s="60">
        <f t="shared" si="10"/>
        <v>0</v>
      </c>
      <c r="P35" s="60">
        <f t="shared" si="11"/>
        <v>0</v>
      </c>
      <c r="Q35" s="71" t="str">
        <f t="shared" si="14"/>
        <v/>
      </c>
      <c r="R35" s="79">
        <f t="shared" si="13"/>
        <v>0</v>
      </c>
      <c r="S35" s="79">
        <f t="shared" si="13"/>
        <v>0</v>
      </c>
      <c r="T35" s="53" t="str">
        <f t="shared" si="0"/>
        <v/>
      </c>
      <c r="U35" s="6" t="str">
        <f t="shared" si="1"/>
        <v/>
      </c>
    </row>
    <row r="36" s="53" customFormat="1" outlineLevel="1">
      <c r="A36" s="2">
        <f t="shared" si="2"/>
        <v>13</v>
      </c>
      <c r="B36" s="55"/>
      <c r="C36" s="55"/>
      <c r="D36" s="55"/>
      <c r="E36" s="75"/>
      <c r="F36" s="55"/>
      <c r="G36" s="76" t="str">
        <f t="shared" si="3"/>
        <v/>
      </c>
      <c r="H36" s="69"/>
      <c r="I36" s="57">
        <f t="shared" si="4"/>
        <v>0</v>
      </c>
      <c r="J36" s="54">
        <f t="shared" si="5"/>
        <v>4.4299999999999997</v>
      </c>
      <c r="K36" s="58">
        <f t="shared" si="6"/>
        <v>0</v>
      </c>
      <c r="L36" s="59">
        <f t="shared" si="7"/>
        <v>0</v>
      </c>
      <c r="M36" s="60">
        <f t="shared" si="8"/>
        <v>0</v>
      </c>
      <c r="N36" s="60">
        <f t="shared" si="9"/>
        <v>0</v>
      </c>
      <c r="O36" s="60">
        <f t="shared" si="10"/>
        <v>0</v>
      </c>
      <c r="P36" s="60">
        <f t="shared" si="11"/>
        <v>0</v>
      </c>
      <c r="Q36" s="71" t="str">
        <f t="shared" si="14"/>
        <v/>
      </c>
      <c r="R36" s="79">
        <f t="shared" si="13"/>
        <v>0</v>
      </c>
      <c r="S36" s="79">
        <f t="shared" si="13"/>
        <v>0</v>
      </c>
      <c r="T36" s="53" t="str">
        <f t="shared" si="0"/>
        <v/>
      </c>
      <c r="U36" s="6" t="str">
        <f t="shared" si="1"/>
        <v/>
      </c>
    </row>
    <row r="37" s="53" customFormat="1" outlineLevel="1">
      <c r="A37" s="2">
        <f t="shared" si="2"/>
        <v>14</v>
      </c>
      <c r="B37" s="77"/>
      <c r="C37" s="77"/>
      <c r="D37" s="77"/>
      <c r="E37" s="77"/>
      <c r="F37" s="77"/>
      <c r="G37" s="78" t="str">
        <f t="shared" si="3"/>
        <v/>
      </c>
      <c r="H37" s="69"/>
      <c r="I37" s="57">
        <f t="shared" si="4"/>
        <v>0</v>
      </c>
      <c r="J37" s="54">
        <f t="shared" si="5"/>
        <v>4.4299999999999997</v>
      </c>
      <c r="K37" s="58">
        <f t="shared" si="6"/>
        <v>0</v>
      </c>
      <c r="L37" s="59">
        <f t="shared" si="7"/>
        <v>0</v>
      </c>
      <c r="M37" s="60">
        <f t="shared" si="8"/>
        <v>0</v>
      </c>
      <c r="N37" s="60">
        <f t="shared" si="9"/>
        <v>0</v>
      </c>
      <c r="O37" s="60">
        <f t="shared" si="10"/>
        <v>0</v>
      </c>
      <c r="P37" s="60">
        <f t="shared" si="11"/>
        <v>0</v>
      </c>
      <c r="Q37" s="71" t="str">
        <f t="shared" si="14"/>
        <v/>
      </c>
      <c r="R37" s="79">
        <f t="shared" si="13"/>
        <v>0</v>
      </c>
      <c r="S37" s="79">
        <f t="shared" si="13"/>
        <v>0</v>
      </c>
      <c r="T37" s="53" t="str">
        <f t="shared" si="0"/>
        <v/>
      </c>
      <c r="U37" s="6" t="str">
        <f t="shared" si="1"/>
        <v/>
      </c>
    </row>
    <row r="38" s="53" customFormat="1" outlineLevel="1">
      <c r="A38" s="2">
        <f t="shared" si="2"/>
        <v>15</v>
      </c>
      <c r="B38" s="55"/>
      <c r="C38" s="55"/>
      <c r="D38" s="75"/>
      <c r="E38" s="75"/>
      <c r="F38" s="55"/>
      <c r="G38" s="76" t="str">
        <f t="shared" si="3"/>
        <v/>
      </c>
      <c r="H38" s="69"/>
      <c r="I38" s="57">
        <f t="shared" si="4"/>
        <v>0</v>
      </c>
      <c r="J38" s="54">
        <f t="shared" si="5"/>
        <v>4.4299999999999997</v>
      </c>
      <c r="K38" s="58">
        <f t="shared" si="6"/>
        <v>0</v>
      </c>
      <c r="L38" s="59">
        <f t="shared" si="7"/>
        <v>0</v>
      </c>
      <c r="M38" s="60">
        <f t="shared" si="8"/>
        <v>0</v>
      </c>
      <c r="N38" s="60">
        <f t="shared" si="9"/>
        <v>0</v>
      </c>
      <c r="O38" s="60">
        <f t="shared" si="10"/>
        <v>0</v>
      </c>
      <c r="P38" s="60">
        <f t="shared" si="11"/>
        <v>0</v>
      </c>
      <c r="Q38" s="71" t="str">
        <f t="shared" si="14"/>
        <v/>
      </c>
      <c r="R38" s="68">
        <f t="shared" si="13"/>
        <v>0</v>
      </c>
      <c r="S38" s="74">
        <f t="shared" si="13"/>
        <v>0</v>
      </c>
      <c r="T38" s="53" t="str">
        <f t="shared" si="0"/>
        <v/>
      </c>
      <c r="U38" s="6" t="str">
        <f t="shared" si="1"/>
        <v/>
      </c>
    </row>
    <row r="39" s="53" customFormat="1" outlineLevel="1">
      <c r="A39" s="2">
        <f t="shared" si="2"/>
        <v>16</v>
      </c>
      <c r="B39" s="77"/>
      <c r="C39" s="77"/>
      <c r="D39" s="77"/>
      <c r="E39" s="77"/>
      <c r="F39" s="77"/>
      <c r="G39" s="78" t="str">
        <f t="shared" si="3"/>
        <v/>
      </c>
      <c r="H39" s="69"/>
      <c r="I39" s="57">
        <f t="shared" si="4"/>
        <v>0</v>
      </c>
      <c r="J39" s="54">
        <f t="shared" si="5"/>
        <v>4.4299999999999997</v>
      </c>
      <c r="K39" s="58">
        <f t="shared" si="6"/>
        <v>0</v>
      </c>
      <c r="L39" s="59">
        <f t="shared" si="7"/>
        <v>0</v>
      </c>
      <c r="M39" s="60">
        <f t="shared" si="8"/>
        <v>0</v>
      </c>
      <c r="N39" s="60">
        <f t="shared" si="9"/>
        <v>0</v>
      </c>
      <c r="O39" s="60">
        <f t="shared" si="10"/>
        <v>0</v>
      </c>
      <c r="P39" s="60">
        <f t="shared" si="11"/>
        <v>0</v>
      </c>
      <c r="Q39" s="71" t="str">
        <f t="shared" si="14"/>
        <v/>
      </c>
      <c r="R39" s="68">
        <f t="shared" si="13"/>
        <v>0</v>
      </c>
      <c r="S39" s="74">
        <f t="shared" si="13"/>
        <v>0</v>
      </c>
      <c r="T39" s="53" t="str">
        <f t="shared" si="0"/>
        <v/>
      </c>
      <c r="U39" s="6" t="str">
        <f t="shared" si="1"/>
        <v/>
      </c>
    </row>
    <row r="40" s="53" customFormat="1" outlineLevel="1">
      <c r="A40" s="2">
        <f t="shared" si="2"/>
        <v>17</v>
      </c>
      <c r="B40" s="55"/>
      <c r="C40" s="55"/>
      <c r="D40" s="55"/>
      <c r="E40" s="75"/>
      <c r="F40" s="55"/>
      <c r="G40" s="76" t="str">
        <f t="shared" si="3"/>
        <v/>
      </c>
      <c r="H40" s="69"/>
      <c r="I40" s="57">
        <f t="shared" si="4"/>
        <v>0</v>
      </c>
      <c r="J40" s="54">
        <f t="shared" si="5"/>
        <v>4.4299999999999997</v>
      </c>
      <c r="K40" s="58">
        <f t="shared" si="6"/>
        <v>0</v>
      </c>
      <c r="L40" s="59">
        <f t="shared" si="7"/>
        <v>0</v>
      </c>
      <c r="M40" s="60">
        <f t="shared" si="8"/>
        <v>0</v>
      </c>
      <c r="N40" s="60">
        <f t="shared" si="9"/>
        <v>0</v>
      </c>
      <c r="O40" s="60">
        <f t="shared" si="10"/>
        <v>0</v>
      </c>
      <c r="P40" s="60">
        <f t="shared" si="11"/>
        <v>0</v>
      </c>
      <c r="Q40" s="71" t="str">
        <f t="shared" si="14"/>
        <v/>
      </c>
      <c r="R40" s="68">
        <f t="shared" si="13"/>
        <v>0</v>
      </c>
      <c r="S40" s="74">
        <f t="shared" si="13"/>
        <v>0</v>
      </c>
      <c r="U40" s="6"/>
    </row>
    <row r="41" s="53" customFormat="1" outlineLevel="1">
      <c r="A41" s="2">
        <f t="shared" si="2"/>
        <v>18</v>
      </c>
      <c r="B41" s="77"/>
      <c r="C41" s="77"/>
      <c r="D41" s="77"/>
      <c r="E41" s="77"/>
      <c r="F41" s="77"/>
      <c r="G41" s="78" t="str">
        <f t="shared" si="3"/>
        <v/>
      </c>
      <c r="H41" s="69"/>
      <c r="I41" s="57">
        <f t="shared" si="4"/>
        <v>0</v>
      </c>
      <c r="J41" s="54">
        <f t="shared" si="5"/>
        <v>4.4299999999999997</v>
      </c>
      <c r="K41" s="58">
        <f t="shared" si="6"/>
        <v>0</v>
      </c>
      <c r="L41" s="59">
        <f t="shared" si="7"/>
        <v>0</v>
      </c>
      <c r="M41" s="60">
        <f t="shared" si="8"/>
        <v>0</v>
      </c>
      <c r="N41" s="60">
        <f t="shared" si="9"/>
        <v>0</v>
      </c>
      <c r="O41" s="60">
        <f t="shared" si="10"/>
        <v>0</v>
      </c>
      <c r="P41" s="60">
        <f t="shared" si="11"/>
        <v>0</v>
      </c>
      <c r="Q41" s="71" t="str">
        <f t="shared" si="14"/>
        <v/>
      </c>
      <c r="R41" s="68">
        <f t="shared" si="13"/>
        <v>0</v>
      </c>
      <c r="S41" s="74">
        <f t="shared" si="13"/>
        <v>0</v>
      </c>
      <c r="T41" s="53" t="str">
        <f t="shared" si="0"/>
        <v/>
      </c>
      <c r="U41" s="6" t="str">
        <f t="shared" si="1"/>
        <v/>
      </c>
    </row>
    <row r="42" s="53" customFormat="1">
      <c r="A42" s="2">
        <f t="shared" si="2"/>
        <v>19</v>
      </c>
      <c r="B42" s="61" t="s">
        <v>43</v>
      </c>
      <c r="C42" s="62"/>
      <c r="D42" s="62"/>
      <c r="E42" s="63"/>
      <c r="F42" s="63"/>
      <c r="G42" s="64"/>
      <c r="H42" s="64"/>
      <c r="I42" s="63"/>
      <c r="J42" s="63"/>
      <c r="K42" s="65"/>
      <c r="L42" s="66"/>
      <c r="M42" s="67"/>
      <c r="N42" s="67"/>
      <c r="O42" s="67"/>
      <c r="P42" s="67"/>
      <c r="Q42" s="71"/>
      <c r="R42" s="68"/>
      <c r="S42" s="74"/>
      <c r="T42" s="53">
        <f t="shared" si="0"/>
        <v>0</v>
      </c>
      <c r="U42" s="6">
        <f t="shared" si="1"/>
        <v>0</v>
      </c>
    </row>
    <row r="43" s="53" customFormat="1" outlineLevel="1">
      <c r="A43" s="2">
        <f t="shared" si="2"/>
        <v>20</v>
      </c>
      <c r="B43" s="57">
        <v>56</v>
      </c>
      <c r="C43" s="57">
        <v>30</v>
      </c>
      <c r="D43" s="57">
        <f>12.6+1.5</f>
        <v>14.1</v>
      </c>
      <c r="E43" s="57"/>
      <c r="F43" s="55"/>
      <c r="G43" s="69">
        <f t="shared" si="3"/>
        <v>0</v>
      </c>
      <c r="H43" s="69"/>
      <c r="I43" s="57">
        <f t="shared" si="4"/>
        <v>61.600079999999998</v>
      </c>
      <c r="J43" s="54">
        <f t="shared" si="5"/>
        <v>6.8799999999999999</v>
      </c>
      <c r="K43" s="58">
        <f t="shared" si="6"/>
        <v>423.8085504</v>
      </c>
      <c r="L43" s="59">
        <f t="shared" si="7"/>
        <v>0</v>
      </c>
      <c r="M43" s="60">
        <f t="shared" si="8"/>
        <v>0</v>
      </c>
      <c r="N43" s="70">
        <f t="shared" si="9"/>
        <v>0</v>
      </c>
      <c r="O43" s="60">
        <f t="shared" si="10"/>
        <v>423.8085504</v>
      </c>
      <c r="P43" s="60">
        <f t="shared" si="11"/>
        <v>0</v>
      </c>
      <c r="Q43" s="71">
        <f t="shared" si="12"/>
        <v>42.448909999999998</v>
      </c>
      <c r="R43" s="68">
        <f t="shared" si="13"/>
        <v>1.4223999999999999</v>
      </c>
      <c r="S43" s="74">
        <f t="shared" si="13"/>
        <v>0.76200000000000001</v>
      </c>
      <c r="T43" s="53">
        <f t="shared" si="0"/>
        <v>0</v>
      </c>
      <c r="U43" s="6">
        <f t="shared" si="1"/>
        <v>0</v>
      </c>
    </row>
    <row r="44" s="53" customFormat="1" outlineLevel="1">
      <c r="A44" s="2">
        <f t="shared" si="2"/>
        <v>21</v>
      </c>
      <c r="B44" s="57">
        <v>52</v>
      </c>
      <c r="C44" s="57">
        <v>30</v>
      </c>
      <c r="D44" s="57">
        <v>5.5</v>
      </c>
      <c r="E44" s="57"/>
      <c r="F44" s="55"/>
      <c r="G44" s="69">
        <f t="shared" si="3"/>
        <v>0</v>
      </c>
      <c r="H44" s="69"/>
      <c r="I44" s="57">
        <f t="shared" si="4"/>
        <v>22.910799999999998</v>
      </c>
      <c r="J44" s="54">
        <f t="shared" si="5"/>
        <v>5.6500000000000004</v>
      </c>
      <c r="K44" s="58">
        <f t="shared" si="6"/>
        <v>129.44602</v>
      </c>
      <c r="L44" s="59">
        <f t="shared" si="7"/>
        <v>0</v>
      </c>
      <c r="M44" s="60">
        <f t="shared" si="8"/>
        <v>0</v>
      </c>
      <c r="N44" s="70">
        <f t="shared" si="9"/>
        <v>129.44602</v>
      </c>
      <c r="O44" s="60">
        <f t="shared" si="10"/>
        <v>0</v>
      </c>
      <c r="P44" s="60">
        <f t="shared" si="11"/>
        <v>0</v>
      </c>
      <c r="Q44" s="71">
        <f t="shared" si="12"/>
        <v>40.975119999999997</v>
      </c>
      <c r="R44" s="68">
        <f t="shared" si="13"/>
        <v>1.3208</v>
      </c>
      <c r="S44" s="74">
        <f t="shared" si="13"/>
        <v>0.76200000000000001</v>
      </c>
      <c r="T44" s="53">
        <f t="shared" si="0"/>
        <v>0</v>
      </c>
      <c r="U44" s="6">
        <f t="shared" si="1"/>
        <v>0</v>
      </c>
    </row>
    <row r="45" s="53" customFormat="1" outlineLevel="1">
      <c r="A45" s="2">
        <f t="shared" si="2"/>
        <v>22</v>
      </c>
      <c r="B45" s="57">
        <v>52</v>
      </c>
      <c r="C45" s="57">
        <v>26</v>
      </c>
      <c r="D45" s="57">
        <v>5.5</v>
      </c>
      <c r="E45" s="57"/>
      <c r="F45" s="55"/>
      <c r="G45" s="69">
        <f t="shared" si="3"/>
        <v>0</v>
      </c>
      <c r="H45" s="69"/>
      <c r="I45" s="57">
        <f t="shared" ref="I45:I46" si="15">(B45+C45)*2*0.0254*D46</f>
        <v>17.8308</v>
      </c>
      <c r="J45" s="54">
        <f t="shared" si="5"/>
        <v>5.6500000000000004</v>
      </c>
      <c r="K45" s="58">
        <f t="shared" si="6"/>
        <v>100.74402000000001</v>
      </c>
      <c r="L45" s="59">
        <f t="shared" si="7"/>
        <v>0</v>
      </c>
      <c r="M45" s="60">
        <f t="shared" si="8"/>
        <v>0</v>
      </c>
      <c r="N45" s="70">
        <f t="shared" si="9"/>
        <v>100.74402000000001</v>
      </c>
      <c r="O45" s="60">
        <f t="shared" si="10"/>
        <v>0</v>
      </c>
      <c r="P45" s="60">
        <f t="shared" si="11"/>
        <v>0</v>
      </c>
      <c r="Q45" s="71">
        <f t="shared" si="12"/>
        <v>37.758399999999995</v>
      </c>
      <c r="R45" s="68">
        <f t="shared" si="13"/>
        <v>1.3208</v>
      </c>
      <c r="S45" s="74">
        <f t="shared" si="13"/>
        <v>0.66039999999999999</v>
      </c>
      <c r="T45" s="53">
        <f t="shared" si="0"/>
        <v>0</v>
      </c>
      <c r="U45" s="6">
        <f t="shared" si="1"/>
        <v>0</v>
      </c>
    </row>
    <row r="46" s="53" customFormat="1" outlineLevel="1">
      <c r="A46" s="2">
        <f t="shared" si="2"/>
        <v>23</v>
      </c>
      <c r="B46" s="57">
        <v>52</v>
      </c>
      <c r="C46" s="57">
        <v>24</v>
      </c>
      <c r="D46" s="57">
        <v>4.5</v>
      </c>
      <c r="E46" s="57"/>
      <c r="F46" s="55"/>
      <c r="G46" s="69">
        <f t="shared" si="3"/>
        <v>0</v>
      </c>
      <c r="H46" s="80"/>
      <c r="I46" s="57">
        <f t="shared" si="15"/>
        <v>17.3736</v>
      </c>
      <c r="J46" s="54">
        <f t="shared" si="5"/>
        <v>5.6500000000000004</v>
      </c>
      <c r="K46" s="58">
        <f t="shared" si="6"/>
        <v>98.160840000000007</v>
      </c>
      <c r="L46" s="59">
        <f t="shared" si="7"/>
        <v>0</v>
      </c>
      <c r="M46" s="60">
        <f t="shared" si="8"/>
        <v>0</v>
      </c>
      <c r="N46" s="70">
        <f t="shared" si="9"/>
        <v>98.160840000000007</v>
      </c>
      <c r="O46" s="60">
        <f t="shared" si="10"/>
        <v>0</v>
      </c>
      <c r="P46" s="60">
        <f t="shared" si="11"/>
        <v>0</v>
      </c>
      <c r="Q46" s="71">
        <f t="shared" si="12"/>
        <v>36.03877</v>
      </c>
      <c r="R46" s="68">
        <f t="shared" si="13"/>
        <v>1.3208</v>
      </c>
      <c r="S46" s="74">
        <f t="shared" si="13"/>
        <v>0.60959999999999992</v>
      </c>
      <c r="T46" s="53">
        <f t="shared" si="0"/>
        <v>0</v>
      </c>
      <c r="U46" s="6">
        <f t="shared" si="1"/>
        <v>0</v>
      </c>
    </row>
    <row r="47" s="53" customFormat="1" outlineLevel="1">
      <c r="A47" s="2">
        <f t="shared" si="2"/>
        <v>24</v>
      </c>
      <c r="B47" s="57">
        <v>46</v>
      </c>
      <c r="C47" s="57">
        <v>24</v>
      </c>
      <c r="D47" s="57">
        <v>4.5</v>
      </c>
      <c r="E47" s="57"/>
      <c r="F47" s="55"/>
      <c r="G47" s="69">
        <f t="shared" si="3"/>
        <v>0</v>
      </c>
      <c r="H47" s="69"/>
      <c r="I47" s="57">
        <f t="shared" si="4"/>
        <v>16.001999999999999</v>
      </c>
      <c r="J47" s="81">
        <v>5.6500000000000004</v>
      </c>
      <c r="K47" s="58">
        <f t="shared" si="6"/>
        <v>90.411299999999997</v>
      </c>
      <c r="L47" s="59">
        <f t="shared" si="7"/>
        <v>0</v>
      </c>
      <c r="M47" s="60">
        <f t="shared" si="8"/>
        <v>0</v>
      </c>
      <c r="N47" s="70">
        <f t="shared" si="9"/>
        <v>90.411299999999997</v>
      </c>
      <c r="O47" s="60">
        <f t="shared" si="10"/>
        <v>0</v>
      </c>
      <c r="P47" s="60">
        <f t="shared" si="11"/>
        <v>0</v>
      </c>
      <c r="Q47" s="71">
        <f t="shared" si="12"/>
        <v>34.018699999999995</v>
      </c>
      <c r="R47" s="68">
        <f t="shared" si="13"/>
        <v>1.1683999999999999</v>
      </c>
      <c r="S47" s="74">
        <f t="shared" si="13"/>
        <v>0.60959999999999992</v>
      </c>
      <c r="T47" s="53">
        <f t="shared" si="0"/>
        <v>0</v>
      </c>
      <c r="U47" s="6">
        <f t="shared" si="1"/>
        <v>0</v>
      </c>
    </row>
    <row r="48" s="53" customFormat="1" outlineLevel="1">
      <c r="A48" s="2">
        <f t="shared" si="2"/>
        <v>25</v>
      </c>
      <c r="B48" s="57">
        <v>46</v>
      </c>
      <c r="C48" s="57">
        <v>22</v>
      </c>
      <c r="D48" s="73">
        <v>4.5</v>
      </c>
      <c r="E48" s="57"/>
      <c r="F48" s="55"/>
      <c r="G48" s="69">
        <f t="shared" si="3"/>
        <v>0</v>
      </c>
      <c r="H48" s="69"/>
      <c r="I48" s="57">
        <f t="shared" si="4"/>
        <v>15.544799999999999</v>
      </c>
      <c r="J48" s="81">
        <v>5.6500000000000004</v>
      </c>
      <c r="K48" s="58">
        <f t="shared" si="6"/>
        <v>87.828119999999998</v>
      </c>
      <c r="L48" s="59">
        <f t="shared" si="7"/>
        <v>0</v>
      </c>
      <c r="M48" s="60">
        <f t="shared" si="8"/>
        <v>0</v>
      </c>
      <c r="N48" s="70">
        <f t="shared" si="9"/>
        <v>87.828119999999998</v>
      </c>
      <c r="O48" s="60">
        <f t="shared" si="10"/>
        <v>0</v>
      </c>
      <c r="P48" s="60">
        <f t="shared" si="11"/>
        <v>0</v>
      </c>
      <c r="Q48" s="71">
        <f t="shared" si="12"/>
        <v>32.334379999999996</v>
      </c>
      <c r="R48" s="68">
        <f t="shared" si="13"/>
        <v>1.1683999999999999</v>
      </c>
      <c r="S48" s="74">
        <f t="shared" si="13"/>
        <v>0.55879999999999996</v>
      </c>
      <c r="T48" s="53">
        <f t="shared" si="0"/>
        <v>0</v>
      </c>
      <c r="U48" s="6">
        <f t="shared" si="1"/>
        <v>0</v>
      </c>
    </row>
    <row r="49" s="53" customFormat="1" outlineLevel="1">
      <c r="A49" s="2">
        <f t="shared" si="2"/>
        <v>26</v>
      </c>
      <c r="B49" s="57">
        <v>46</v>
      </c>
      <c r="C49" s="57">
        <v>20</v>
      </c>
      <c r="D49" s="57">
        <v>4.5</v>
      </c>
      <c r="E49" s="57"/>
      <c r="F49" s="55"/>
      <c r="G49" s="69">
        <f t="shared" si="3"/>
        <v>0</v>
      </c>
      <c r="H49" s="69"/>
      <c r="I49" s="57">
        <f t="shared" si="4"/>
        <v>15.087599999999998</v>
      </c>
      <c r="J49" s="54">
        <f t="shared" si="5"/>
        <v>5.6500000000000004</v>
      </c>
      <c r="K49" s="58">
        <f t="shared" si="6"/>
        <v>85.24494</v>
      </c>
      <c r="L49" s="59">
        <f t="shared" si="7"/>
        <v>0</v>
      </c>
      <c r="M49" s="60">
        <f t="shared" si="8"/>
        <v>0</v>
      </c>
      <c r="N49" s="60">
        <f t="shared" si="9"/>
        <v>85.24494</v>
      </c>
      <c r="O49" s="60">
        <f t="shared" si="10"/>
        <v>0</v>
      </c>
      <c r="P49" s="60">
        <f t="shared" si="11"/>
        <v>0</v>
      </c>
      <c r="Q49" s="71">
        <f t="shared" si="12"/>
        <v>30.556299999999997</v>
      </c>
      <c r="R49" s="68">
        <f t="shared" si="13"/>
        <v>1.1683999999999999</v>
      </c>
      <c r="S49" s="74">
        <f t="shared" si="13"/>
        <v>0.50800000000000001</v>
      </c>
      <c r="T49" s="53">
        <f t="shared" si="0"/>
        <v>0</v>
      </c>
      <c r="U49" s="6">
        <f t="shared" si="1"/>
        <v>0</v>
      </c>
    </row>
    <row r="50" s="72" customFormat="1" outlineLevel="1">
      <c r="A50" s="2">
        <f t="shared" si="2"/>
        <v>27</v>
      </c>
      <c r="B50" s="57">
        <v>38</v>
      </c>
      <c r="C50" s="57">
        <v>20</v>
      </c>
      <c r="D50" s="57">
        <v>4.5</v>
      </c>
      <c r="E50" s="57"/>
      <c r="F50" s="55"/>
      <c r="G50" s="69">
        <f t="shared" si="3"/>
        <v>0</v>
      </c>
      <c r="H50" s="69"/>
      <c r="I50" s="57">
        <f t="shared" si="4"/>
        <v>13.258799999999999</v>
      </c>
      <c r="J50" s="54">
        <f t="shared" si="5"/>
        <v>5.6500000000000004</v>
      </c>
      <c r="K50" s="58">
        <f t="shared" si="6"/>
        <v>74.912220000000005</v>
      </c>
      <c r="L50" s="59">
        <f t="shared" si="7"/>
        <v>0</v>
      </c>
      <c r="M50" s="60">
        <f t="shared" si="8"/>
        <v>0</v>
      </c>
      <c r="N50" s="60">
        <f t="shared" si="9"/>
        <v>74.912220000000005</v>
      </c>
      <c r="O50" s="60">
        <f t="shared" si="10"/>
        <v>0</v>
      </c>
      <c r="P50" s="60">
        <f t="shared" si="11"/>
        <v>0</v>
      </c>
      <c r="Q50" s="71">
        <f t="shared" si="12"/>
        <v>27.925089999999997</v>
      </c>
      <c r="R50" s="68">
        <f t="shared" si="13"/>
        <v>0.96519999999999995</v>
      </c>
      <c r="S50" s="74">
        <f t="shared" si="13"/>
        <v>0.50800000000000001</v>
      </c>
      <c r="T50" s="53">
        <f t="shared" si="0"/>
        <v>0</v>
      </c>
      <c r="U50" s="6">
        <f t="shared" si="1"/>
        <v>0</v>
      </c>
    </row>
    <row r="51" s="53" customFormat="1" outlineLevel="1">
      <c r="A51" s="2">
        <f t="shared" si="2"/>
        <v>28</v>
      </c>
      <c r="B51" s="57">
        <v>34</v>
      </c>
      <c r="C51" s="57">
        <v>20</v>
      </c>
      <c r="D51" s="57">
        <v>3</v>
      </c>
      <c r="E51" s="57"/>
      <c r="F51" s="55"/>
      <c r="G51" s="69">
        <f t="shared" si="3"/>
        <v>0</v>
      </c>
      <c r="H51" s="69"/>
      <c r="I51" s="57">
        <f t="shared" si="4"/>
        <v>8.2295999999999996</v>
      </c>
      <c r="J51" s="54">
        <f t="shared" si="5"/>
        <v>5.6500000000000004</v>
      </c>
      <c r="K51" s="58">
        <f t="shared" si="6"/>
        <v>46.497239999999998</v>
      </c>
      <c r="L51" s="59">
        <f t="shared" si="7"/>
        <v>0</v>
      </c>
      <c r="M51" s="60">
        <f t="shared" si="8"/>
        <v>0</v>
      </c>
      <c r="N51" s="60">
        <f t="shared" si="9"/>
        <v>46.497239999999998</v>
      </c>
      <c r="O51" s="60">
        <f t="shared" si="10"/>
        <v>0</v>
      </c>
      <c r="P51" s="60">
        <f t="shared" si="11"/>
        <v>0</v>
      </c>
      <c r="Q51" s="71">
        <f t="shared" si="12"/>
        <v>26.463319999999996</v>
      </c>
      <c r="R51" s="68">
        <f t="shared" si="13"/>
        <v>0.86359999999999992</v>
      </c>
      <c r="S51" s="74">
        <f t="shared" si="13"/>
        <v>0.50800000000000001</v>
      </c>
      <c r="T51" s="53">
        <f t="shared" si="0"/>
        <v>0</v>
      </c>
      <c r="U51" s="6">
        <f t="shared" si="1"/>
        <v>0</v>
      </c>
    </row>
    <row r="52" s="53" customFormat="1" outlineLevel="1">
      <c r="A52" s="2">
        <f t="shared" si="2"/>
        <v>29</v>
      </c>
      <c r="B52" s="57">
        <v>34</v>
      </c>
      <c r="C52" s="57">
        <v>16</v>
      </c>
      <c r="D52" s="57">
        <v>3</v>
      </c>
      <c r="E52" s="57"/>
      <c r="F52" s="55"/>
      <c r="G52" s="69">
        <f t="shared" si="3"/>
        <v>0</v>
      </c>
      <c r="H52" s="69"/>
      <c r="I52" s="57">
        <f t="shared" si="4"/>
        <v>7.6200000000000001</v>
      </c>
      <c r="J52" s="54">
        <f t="shared" si="5"/>
        <v>5.6500000000000004</v>
      </c>
      <c r="K52" s="58">
        <f t="shared" si="6"/>
        <v>43.053000000000004</v>
      </c>
      <c r="L52" s="59">
        <f t="shared" si="7"/>
        <v>0</v>
      </c>
      <c r="M52" s="60">
        <f t="shared" si="8"/>
        <v>0</v>
      </c>
      <c r="N52" s="70">
        <f t="shared" si="9"/>
        <v>43.053000000000004</v>
      </c>
      <c r="O52" s="60">
        <f t="shared" si="10"/>
        <v>0</v>
      </c>
      <c r="P52" s="60">
        <f t="shared" si="11"/>
        <v>0</v>
      </c>
      <c r="Q52" s="71">
        <f t="shared" si="12"/>
        <v>23.180669999999999</v>
      </c>
      <c r="R52" s="68">
        <f t="shared" si="13"/>
        <v>0.86359999999999992</v>
      </c>
      <c r="S52" s="74">
        <f t="shared" si="13"/>
        <v>0.40639999999999998</v>
      </c>
      <c r="T52" s="53">
        <f t="shared" si="0"/>
        <v>0</v>
      </c>
      <c r="U52" s="6">
        <f t="shared" si="1"/>
        <v>0</v>
      </c>
    </row>
    <row r="53" s="53" customFormat="1" outlineLevel="1">
      <c r="A53" s="2">
        <f t="shared" si="2"/>
        <v>30</v>
      </c>
      <c r="B53" s="57">
        <v>24</v>
      </c>
      <c r="C53" s="57">
        <v>16</v>
      </c>
      <c r="D53" s="57">
        <v>3</v>
      </c>
      <c r="E53" s="73"/>
      <c r="F53" s="55"/>
      <c r="G53" s="69">
        <f t="shared" si="3"/>
        <v>0</v>
      </c>
      <c r="H53" s="69"/>
      <c r="I53" s="57">
        <f t="shared" si="4"/>
        <v>6.0960000000000001</v>
      </c>
      <c r="J53" s="54">
        <f t="shared" si="5"/>
        <v>4.4299999999999997</v>
      </c>
      <c r="K53" s="58">
        <f t="shared" si="6"/>
        <v>27.005279999999999</v>
      </c>
      <c r="L53" s="59">
        <f t="shared" si="7"/>
        <v>0</v>
      </c>
      <c r="M53" s="60">
        <f t="shared" si="8"/>
        <v>27.005279999999999</v>
      </c>
      <c r="N53" s="60">
        <f t="shared" si="9"/>
        <v>0</v>
      </c>
      <c r="O53" s="60">
        <f t="shared" si="10"/>
        <v>0</v>
      </c>
      <c r="P53" s="60">
        <f t="shared" si="11"/>
        <v>0</v>
      </c>
      <c r="Q53" s="71">
        <f t="shared" si="12"/>
        <v>19.54853</v>
      </c>
      <c r="R53" s="68">
        <f t="shared" si="13"/>
        <v>0.60959999999999992</v>
      </c>
      <c r="S53" s="74">
        <f t="shared" si="13"/>
        <v>0.40639999999999998</v>
      </c>
      <c r="T53" s="53">
        <f t="shared" si="0"/>
        <v>0</v>
      </c>
      <c r="U53" s="6">
        <f t="shared" si="1"/>
        <v>0</v>
      </c>
    </row>
    <row r="54" s="53" customFormat="1" outlineLevel="1">
      <c r="A54" s="2">
        <f t="shared" si="2"/>
        <v>31</v>
      </c>
      <c r="B54" s="57">
        <v>24</v>
      </c>
      <c r="C54" s="57">
        <v>10</v>
      </c>
      <c r="D54" s="57">
        <v>2.5</v>
      </c>
      <c r="E54" s="57"/>
      <c r="F54" s="55"/>
      <c r="G54" s="69">
        <f t="shared" si="3"/>
        <v>0</v>
      </c>
      <c r="H54" s="69"/>
      <c r="I54" s="57">
        <f t="shared" si="4"/>
        <v>4.3179999999999996</v>
      </c>
      <c r="J54" s="54">
        <f t="shared" si="5"/>
        <v>4.4299999999999997</v>
      </c>
      <c r="K54" s="58">
        <f t="shared" si="6"/>
        <v>19.128739999999997</v>
      </c>
      <c r="L54" s="59">
        <f t="shared" si="7"/>
        <v>0</v>
      </c>
      <c r="M54" s="60">
        <f t="shared" si="8"/>
        <v>19.128739999999997</v>
      </c>
      <c r="N54" s="60">
        <f t="shared" si="9"/>
        <v>0</v>
      </c>
      <c r="O54" s="60">
        <f t="shared" si="10"/>
        <v>0</v>
      </c>
      <c r="P54" s="60">
        <f t="shared" si="11"/>
        <v>0</v>
      </c>
      <c r="Q54" s="71">
        <f t="shared" si="12"/>
        <v>14.605109999999998</v>
      </c>
      <c r="R54" s="68">
        <f t="shared" si="13"/>
        <v>0.60959999999999992</v>
      </c>
      <c r="S54" s="74">
        <f>C54*0.0254</f>
        <v>0.254</v>
      </c>
      <c r="T54" s="53">
        <f t="shared" si="0"/>
        <v>0</v>
      </c>
      <c r="U54" s="6">
        <f t="shared" si="1"/>
        <v>0</v>
      </c>
    </row>
    <row r="55" s="53" customFormat="1" outlineLevel="1">
      <c r="A55" s="2">
        <f t="shared" si="2"/>
        <v>32</v>
      </c>
      <c r="B55" s="57">
        <v>56</v>
      </c>
      <c r="C55" s="57">
        <v>30</v>
      </c>
      <c r="D55" s="73">
        <f>7*2+1.2*2+0.6*2</f>
        <v>17.599999999999998</v>
      </c>
      <c r="E55" s="73"/>
      <c r="F55" s="55"/>
      <c r="G55" s="69">
        <f t="shared" si="3"/>
        <v>0</v>
      </c>
      <c r="H55" s="69"/>
      <c r="I55" s="57">
        <f t="shared" si="4"/>
        <v>76.890879999999996</v>
      </c>
      <c r="J55" s="54">
        <f t="shared" si="5"/>
        <v>6.8799999999999999</v>
      </c>
      <c r="K55" s="58">
        <f t="shared" si="6"/>
        <v>529.00925439999992</v>
      </c>
      <c r="L55" s="59">
        <f t="shared" si="7"/>
        <v>0</v>
      </c>
      <c r="M55" s="60">
        <f t="shared" si="8"/>
        <v>0</v>
      </c>
      <c r="N55" s="60">
        <f t="shared" si="9"/>
        <v>0</v>
      </c>
      <c r="O55" s="60">
        <f t="shared" si="10"/>
        <v>529.00925439999992</v>
      </c>
      <c r="P55" s="60">
        <f t="shared" si="11"/>
        <v>0</v>
      </c>
      <c r="Q55" s="71">
        <f t="shared" si="12"/>
        <v>42.448909999999998</v>
      </c>
      <c r="R55" s="68">
        <f t="shared" si="13"/>
        <v>1.4223999999999999</v>
      </c>
      <c r="S55" s="74">
        <f t="shared" si="13"/>
        <v>0.76200000000000001</v>
      </c>
      <c r="T55" s="53">
        <f t="shared" si="0"/>
        <v>0</v>
      </c>
      <c r="U55" s="6">
        <f t="shared" si="1"/>
        <v>0</v>
      </c>
    </row>
    <row r="56" s="53" customFormat="1" outlineLevel="1">
      <c r="A56" s="2">
        <f t="shared" si="2"/>
        <v>33</v>
      </c>
      <c r="B56" s="57"/>
      <c r="C56" s="57"/>
      <c r="D56" s="57"/>
      <c r="E56" s="57"/>
      <c r="F56" s="55"/>
      <c r="G56" s="69" t="str">
        <f t="shared" si="3"/>
        <v/>
      </c>
      <c r="H56" s="69"/>
      <c r="I56" s="57">
        <f t="shared" si="4"/>
        <v>0</v>
      </c>
      <c r="J56" s="54">
        <f t="shared" si="5"/>
        <v>4.4299999999999997</v>
      </c>
      <c r="K56" s="58">
        <f t="shared" si="6"/>
        <v>0</v>
      </c>
      <c r="L56" s="59">
        <f t="shared" si="7"/>
        <v>0</v>
      </c>
      <c r="M56" s="60">
        <f t="shared" si="8"/>
        <v>0</v>
      </c>
      <c r="N56" s="60">
        <f t="shared" si="9"/>
        <v>0</v>
      </c>
      <c r="O56" s="60">
        <f t="shared" si="10"/>
        <v>0</v>
      </c>
      <c r="P56" s="60">
        <f t="shared" si="11"/>
        <v>0</v>
      </c>
      <c r="Q56" s="71" t="str">
        <f t="shared" si="12"/>
        <v/>
      </c>
      <c r="R56" s="68">
        <f t="shared" si="13"/>
        <v>0</v>
      </c>
      <c r="S56" s="74">
        <f t="shared" si="13"/>
        <v>0</v>
      </c>
      <c r="T56" s="53" t="str">
        <f t="shared" si="0"/>
        <v/>
      </c>
      <c r="U56" s="6" t="str">
        <f t="shared" si="1"/>
        <v/>
      </c>
    </row>
    <row r="57" s="53" customFormat="1" outlineLevel="1">
      <c r="A57" s="2">
        <f t="shared" si="2"/>
        <v>34</v>
      </c>
      <c r="B57" s="57"/>
      <c r="C57" s="57"/>
      <c r="D57" s="57"/>
      <c r="E57" s="57"/>
      <c r="F57" s="55"/>
      <c r="G57" s="76" t="str">
        <f t="shared" si="3"/>
        <v/>
      </c>
      <c r="H57" s="69"/>
      <c r="I57" s="57">
        <f t="shared" si="4"/>
        <v>0</v>
      </c>
      <c r="J57" s="54">
        <f t="shared" si="5"/>
        <v>4.4299999999999997</v>
      </c>
      <c r="K57" s="58">
        <f t="shared" si="6"/>
        <v>0</v>
      </c>
      <c r="L57" s="59">
        <f t="shared" si="7"/>
        <v>0</v>
      </c>
      <c r="M57" s="60">
        <f t="shared" si="8"/>
        <v>0</v>
      </c>
      <c r="N57" s="60">
        <f t="shared" si="9"/>
        <v>0</v>
      </c>
      <c r="O57" s="60">
        <f t="shared" si="10"/>
        <v>0</v>
      </c>
      <c r="P57" s="60">
        <f t="shared" si="11"/>
        <v>0</v>
      </c>
      <c r="Q57" s="71" t="str">
        <f t="shared" ref="Q57:Q66" si="16">IF(B57&lt;&gt;"",IF($B$12="Ductos con PIRALU",(ROUNDDOWN(1.3*(POWER(((B57)*(C57)),0.625)/POWER(((B57)+(C57)),0.25)),5)),IF($B$12="AA ductos con aislamiento interno",(ROUNDDOWN(1.3*(POWER(((B57-0.5)*(C57-0.5)),0.625)/POWER(((B57-0.5)+(C57-0.5)),0.25)),5)),(ROUNDDOWN(1.3*(POWER((B57*C57),0.625)/POWER((B57+C57),0.25)),5)))),"")</f>
        <v/>
      </c>
      <c r="R57" s="68">
        <f t="shared" si="13"/>
        <v>0</v>
      </c>
      <c r="S57" s="74">
        <f t="shared" si="13"/>
        <v>0</v>
      </c>
      <c r="T57" s="53" t="str">
        <f t="shared" si="0"/>
        <v/>
      </c>
      <c r="U57" s="6" t="str">
        <f t="shared" si="1"/>
        <v/>
      </c>
    </row>
    <row r="58" s="53" customFormat="1" outlineLevel="1">
      <c r="A58" s="2">
        <f t="shared" si="2"/>
        <v>35</v>
      </c>
      <c r="B58" s="55">
        <v>40</v>
      </c>
      <c r="C58" s="55">
        <v>10</v>
      </c>
      <c r="D58" s="75">
        <f>26*0.5</f>
        <v>13</v>
      </c>
      <c r="E58" s="75"/>
      <c r="F58" s="77"/>
      <c r="G58" s="78">
        <f t="shared" si="3"/>
        <v>0</v>
      </c>
      <c r="H58" s="69"/>
      <c r="I58" s="57">
        <f t="shared" si="4"/>
        <v>33.020000000000003</v>
      </c>
      <c r="J58" s="54">
        <f t="shared" si="5"/>
        <v>5.6500000000000004</v>
      </c>
      <c r="K58" s="58">
        <f t="shared" si="6"/>
        <v>186.56300000000002</v>
      </c>
      <c r="L58" s="59">
        <f t="shared" si="7"/>
        <v>0</v>
      </c>
      <c r="M58" s="60">
        <f t="shared" si="8"/>
        <v>0</v>
      </c>
      <c r="N58" s="60">
        <f t="shared" si="9"/>
        <v>186.56300000000002</v>
      </c>
      <c r="O58" s="60">
        <f t="shared" si="10"/>
        <v>0</v>
      </c>
      <c r="P58" s="60">
        <f t="shared" si="11"/>
        <v>0</v>
      </c>
      <c r="Q58" s="71">
        <f t="shared" si="16"/>
        <v>20.677029999999998</v>
      </c>
      <c r="R58" s="68">
        <f t="shared" si="13"/>
        <v>1.016</v>
      </c>
      <c r="S58" s="74">
        <f t="shared" si="13"/>
        <v>0.254</v>
      </c>
      <c r="T58" s="53">
        <f t="shared" si="0"/>
        <v>0</v>
      </c>
      <c r="U58" s="6">
        <f t="shared" si="1"/>
        <v>0</v>
      </c>
    </row>
    <row r="59" s="53" customFormat="1" outlineLevel="1">
      <c r="A59" s="2">
        <f t="shared" si="2"/>
        <v>36</v>
      </c>
      <c r="B59" s="77"/>
      <c r="C59" s="77"/>
      <c r="D59" s="77"/>
      <c r="E59" s="77"/>
      <c r="F59" s="55"/>
      <c r="G59" s="76" t="str">
        <f t="shared" si="3"/>
        <v/>
      </c>
      <c r="H59" s="69"/>
      <c r="I59" s="57">
        <f t="shared" si="4"/>
        <v>0</v>
      </c>
      <c r="J59" s="54">
        <f t="shared" si="5"/>
        <v>4.4299999999999997</v>
      </c>
      <c r="K59" s="58">
        <f t="shared" si="6"/>
        <v>0</v>
      </c>
      <c r="L59" s="59">
        <f t="shared" si="7"/>
        <v>0</v>
      </c>
      <c r="M59" s="60">
        <f t="shared" si="8"/>
        <v>0</v>
      </c>
      <c r="N59" s="60">
        <f t="shared" si="9"/>
        <v>0</v>
      </c>
      <c r="O59" s="60">
        <f t="shared" si="10"/>
        <v>0</v>
      </c>
      <c r="P59" s="60">
        <f t="shared" si="11"/>
        <v>0</v>
      </c>
      <c r="Q59" s="71" t="str">
        <f t="shared" si="16"/>
        <v/>
      </c>
      <c r="R59" s="68">
        <f t="shared" si="13"/>
        <v>0</v>
      </c>
      <c r="S59" s="74">
        <f t="shared" si="13"/>
        <v>0</v>
      </c>
      <c r="T59" s="53" t="str">
        <f t="shared" si="0"/>
        <v/>
      </c>
      <c r="U59" s="6" t="str">
        <f t="shared" si="1"/>
        <v/>
      </c>
    </row>
    <row r="60" s="53" customFormat="1" outlineLevel="1">
      <c r="A60" s="2">
        <f t="shared" si="2"/>
        <v>37</v>
      </c>
      <c r="B60" s="55">
        <v>24</v>
      </c>
      <c r="C60" s="55">
        <v>24</v>
      </c>
      <c r="D60" s="75">
        <f>16*0.35</f>
        <v>5.5999999999999996</v>
      </c>
      <c r="E60" s="75"/>
      <c r="F60" s="77"/>
      <c r="G60" s="78">
        <f t="shared" si="3"/>
        <v>0</v>
      </c>
      <c r="H60" s="69"/>
      <c r="I60" s="57">
        <f t="shared" si="4"/>
        <v>13.655039999999998</v>
      </c>
      <c r="J60" s="54">
        <f t="shared" si="5"/>
        <v>4.4299999999999997</v>
      </c>
      <c r="K60" s="58">
        <f t="shared" si="6"/>
        <v>60.491827199999989</v>
      </c>
      <c r="L60" s="59">
        <f t="shared" si="7"/>
        <v>0</v>
      </c>
      <c r="M60" s="60">
        <f t="shared" si="8"/>
        <v>60.491827199999989</v>
      </c>
      <c r="N60" s="60">
        <f t="shared" si="9"/>
        <v>0</v>
      </c>
      <c r="O60" s="60">
        <f t="shared" si="10"/>
        <v>0</v>
      </c>
      <c r="P60" s="60">
        <f t="shared" si="11"/>
        <v>0</v>
      </c>
      <c r="Q60" s="71">
        <f t="shared" si="16"/>
        <v>26.235959999999999</v>
      </c>
      <c r="R60" s="74">
        <f t="shared" si="13"/>
        <v>0.60959999999999992</v>
      </c>
      <c r="S60" s="74">
        <f t="shared" si="13"/>
        <v>0.60959999999999992</v>
      </c>
      <c r="T60" s="53">
        <f t="shared" si="0"/>
        <v>0</v>
      </c>
      <c r="U60" s="6">
        <f t="shared" si="1"/>
        <v>0</v>
      </c>
    </row>
    <row r="61" s="53" customFormat="1" outlineLevel="1">
      <c r="A61" s="2">
        <f t="shared" si="2"/>
        <v>38</v>
      </c>
      <c r="B61" s="77"/>
      <c r="C61" s="77"/>
      <c r="D61" s="77"/>
      <c r="E61" s="77"/>
      <c r="F61" s="55"/>
      <c r="G61" s="76" t="str">
        <f t="shared" si="3"/>
        <v/>
      </c>
      <c r="H61" s="69"/>
      <c r="I61" s="57">
        <f t="shared" si="4"/>
        <v>0</v>
      </c>
      <c r="J61" s="54">
        <f t="shared" si="5"/>
        <v>4.4299999999999997</v>
      </c>
      <c r="K61" s="58">
        <f t="shared" si="6"/>
        <v>0</v>
      </c>
      <c r="L61" s="59">
        <f t="shared" si="7"/>
        <v>0</v>
      </c>
      <c r="M61" s="60">
        <f t="shared" si="8"/>
        <v>0</v>
      </c>
      <c r="N61" s="60">
        <f t="shared" si="9"/>
        <v>0</v>
      </c>
      <c r="O61" s="60">
        <f t="shared" si="10"/>
        <v>0</v>
      </c>
      <c r="P61" s="60">
        <f t="shared" si="11"/>
        <v>0</v>
      </c>
      <c r="Q61" s="71" t="str">
        <f t="shared" si="16"/>
        <v/>
      </c>
      <c r="R61" s="74">
        <f t="shared" si="13"/>
        <v>0</v>
      </c>
      <c r="S61" s="74">
        <f t="shared" si="13"/>
        <v>0</v>
      </c>
      <c r="T61" s="53" t="str">
        <f t="shared" si="0"/>
        <v/>
      </c>
      <c r="U61" s="6" t="str">
        <f t="shared" si="1"/>
        <v/>
      </c>
    </row>
    <row r="62" s="53" customFormat="1" outlineLevel="1">
      <c r="A62" s="2">
        <f t="shared" si="2"/>
        <v>39</v>
      </c>
      <c r="B62" s="55"/>
      <c r="C62" s="55"/>
      <c r="D62" s="55"/>
      <c r="E62" s="75"/>
      <c r="F62" s="77"/>
      <c r="G62" s="78" t="str">
        <f t="shared" si="3"/>
        <v/>
      </c>
      <c r="H62" s="69"/>
      <c r="I62" s="57">
        <f t="shared" si="4"/>
        <v>0</v>
      </c>
      <c r="J62" s="54">
        <f t="shared" si="5"/>
        <v>4.4299999999999997</v>
      </c>
      <c r="K62" s="58">
        <f t="shared" si="6"/>
        <v>0</v>
      </c>
      <c r="L62" s="59">
        <f t="shared" si="7"/>
        <v>0</v>
      </c>
      <c r="M62" s="60">
        <f t="shared" si="8"/>
        <v>0</v>
      </c>
      <c r="N62" s="60">
        <f t="shared" si="9"/>
        <v>0</v>
      </c>
      <c r="O62" s="60">
        <f t="shared" si="10"/>
        <v>0</v>
      </c>
      <c r="P62" s="60">
        <f t="shared" si="11"/>
        <v>0</v>
      </c>
      <c r="Q62" s="71" t="str">
        <f t="shared" si="16"/>
        <v/>
      </c>
      <c r="R62" s="74">
        <f t="shared" si="13"/>
        <v>0</v>
      </c>
      <c r="S62" s="74">
        <f t="shared" si="13"/>
        <v>0</v>
      </c>
      <c r="T62" s="53" t="str">
        <f t="shared" si="0"/>
        <v/>
      </c>
      <c r="U62" s="6" t="str">
        <f t="shared" si="1"/>
        <v/>
      </c>
    </row>
    <row r="63" s="53" customFormat="1" outlineLevel="1">
      <c r="A63" s="2">
        <f t="shared" si="2"/>
        <v>40</v>
      </c>
      <c r="B63" s="55"/>
      <c r="C63" s="55"/>
      <c r="D63" s="75"/>
      <c r="E63" s="75"/>
      <c r="F63" s="75"/>
      <c r="G63" s="76" t="str">
        <f t="shared" si="3"/>
        <v/>
      </c>
      <c r="H63" s="69"/>
      <c r="I63" s="57">
        <f t="shared" si="4"/>
        <v>0</v>
      </c>
      <c r="J63" s="54">
        <f t="shared" si="5"/>
        <v>4.4299999999999997</v>
      </c>
      <c r="K63" s="58">
        <f t="shared" si="6"/>
        <v>0</v>
      </c>
      <c r="L63" s="59">
        <f t="shared" si="7"/>
        <v>0</v>
      </c>
      <c r="M63" s="60">
        <f t="shared" si="8"/>
        <v>0</v>
      </c>
      <c r="N63" s="60">
        <f t="shared" si="9"/>
        <v>0</v>
      </c>
      <c r="O63" s="60">
        <f t="shared" si="10"/>
        <v>0</v>
      </c>
      <c r="P63" s="60">
        <f t="shared" si="11"/>
        <v>0</v>
      </c>
      <c r="Q63" s="71" t="str">
        <f t="shared" si="16"/>
        <v/>
      </c>
      <c r="R63" s="74">
        <f t="shared" si="13"/>
        <v>0</v>
      </c>
      <c r="S63" s="74">
        <f t="shared" si="13"/>
        <v>0</v>
      </c>
      <c r="T63" s="53" t="str">
        <f t="shared" si="0"/>
        <v/>
      </c>
      <c r="U63" s="6" t="str">
        <f t="shared" si="1"/>
        <v/>
      </c>
    </row>
    <row r="64" s="53" customFormat="1" outlineLevel="1">
      <c r="A64" s="2">
        <f t="shared" si="2"/>
        <v>41</v>
      </c>
      <c r="B64" s="77"/>
      <c r="C64" s="77"/>
      <c r="D64" s="77"/>
      <c r="E64" s="77"/>
      <c r="F64" s="77"/>
      <c r="G64" s="78" t="str">
        <f t="shared" si="3"/>
        <v/>
      </c>
      <c r="H64" s="69"/>
      <c r="I64" s="57">
        <f t="shared" si="4"/>
        <v>0</v>
      </c>
      <c r="J64" s="54">
        <f t="shared" si="5"/>
        <v>4.4299999999999997</v>
      </c>
      <c r="K64" s="58">
        <f t="shared" si="6"/>
        <v>0</v>
      </c>
      <c r="L64" s="59">
        <f t="shared" si="7"/>
        <v>0</v>
      </c>
      <c r="M64" s="60">
        <f t="shared" si="8"/>
        <v>0</v>
      </c>
      <c r="N64" s="60">
        <f t="shared" si="9"/>
        <v>0</v>
      </c>
      <c r="O64" s="60">
        <f t="shared" si="10"/>
        <v>0</v>
      </c>
      <c r="P64" s="60">
        <f t="shared" si="11"/>
        <v>0</v>
      </c>
      <c r="Q64" s="71" t="str">
        <f t="shared" si="16"/>
        <v/>
      </c>
      <c r="R64" s="74">
        <f t="shared" si="13"/>
        <v>0</v>
      </c>
      <c r="S64" s="74">
        <f t="shared" si="13"/>
        <v>0</v>
      </c>
      <c r="T64" s="53" t="str">
        <f t="shared" si="0"/>
        <v/>
      </c>
      <c r="U64" s="6" t="str">
        <f t="shared" si="1"/>
        <v/>
      </c>
    </row>
    <row r="65" s="53" customFormat="1" outlineLevel="1" collapsed="1">
      <c r="A65" s="2">
        <f t="shared" si="2"/>
        <v>42</v>
      </c>
      <c r="B65" s="55"/>
      <c r="C65" s="55"/>
      <c r="D65" s="75"/>
      <c r="E65" s="55"/>
      <c r="F65" s="55"/>
      <c r="G65" s="76" t="str">
        <f t="shared" si="3"/>
        <v/>
      </c>
      <c r="H65" s="69"/>
      <c r="I65" s="57">
        <f t="shared" si="4"/>
        <v>0</v>
      </c>
      <c r="J65" s="54">
        <f t="shared" si="5"/>
        <v>4.4299999999999997</v>
      </c>
      <c r="K65" s="58">
        <f t="shared" si="6"/>
        <v>0</v>
      </c>
      <c r="L65" s="59">
        <f t="shared" si="7"/>
        <v>0</v>
      </c>
      <c r="M65" s="60">
        <f t="shared" si="8"/>
        <v>0</v>
      </c>
      <c r="N65" s="60">
        <f t="shared" si="9"/>
        <v>0</v>
      </c>
      <c r="O65" s="60">
        <f t="shared" si="10"/>
        <v>0</v>
      </c>
      <c r="P65" s="60">
        <f t="shared" si="11"/>
        <v>0</v>
      </c>
      <c r="Q65" s="71" t="str">
        <f t="shared" si="16"/>
        <v/>
      </c>
      <c r="R65" s="79">
        <f t="shared" si="13"/>
        <v>0</v>
      </c>
      <c r="S65" s="79">
        <f t="shared" si="13"/>
        <v>0</v>
      </c>
      <c r="U65" s="6"/>
    </row>
    <row r="66" s="53" customFormat="1" outlineLevel="1">
      <c r="A66" s="2">
        <f t="shared" si="2"/>
        <v>43</v>
      </c>
      <c r="B66" s="77"/>
      <c r="C66" s="77"/>
      <c r="D66" s="77"/>
      <c r="E66" s="77"/>
      <c r="F66" s="77"/>
      <c r="G66" s="78" t="str">
        <f t="shared" si="3"/>
        <v/>
      </c>
      <c r="H66" s="69"/>
      <c r="I66" s="57">
        <f t="shared" si="4"/>
        <v>0</v>
      </c>
      <c r="J66" s="54">
        <f t="shared" si="5"/>
        <v>4.4299999999999997</v>
      </c>
      <c r="K66" s="58">
        <f t="shared" si="6"/>
        <v>0</v>
      </c>
      <c r="L66" s="59">
        <f t="shared" si="7"/>
        <v>0</v>
      </c>
      <c r="M66" s="60">
        <f t="shared" si="8"/>
        <v>0</v>
      </c>
      <c r="N66" s="60">
        <f t="shared" si="9"/>
        <v>0</v>
      </c>
      <c r="O66" s="60">
        <f t="shared" si="10"/>
        <v>0</v>
      </c>
      <c r="P66" s="60">
        <f t="shared" si="11"/>
        <v>0</v>
      </c>
      <c r="Q66" s="71" t="str">
        <f t="shared" si="16"/>
        <v/>
      </c>
      <c r="R66" s="79">
        <f t="shared" si="13"/>
        <v>0</v>
      </c>
      <c r="S66" s="79">
        <f t="shared" si="13"/>
        <v>0</v>
      </c>
      <c r="T66" s="53" t="str">
        <f t="shared" si="0"/>
        <v/>
      </c>
      <c r="U66" s="6" t="str">
        <f t="shared" si="1"/>
        <v/>
      </c>
    </row>
    <row r="67" s="53" customFormat="1">
      <c r="A67" s="2">
        <f t="shared" si="2"/>
        <v>44</v>
      </c>
      <c r="B67" s="61" t="s">
        <v>44</v>
      </c>
      <c r="C67" s="62"/>
      <c r="D67" s="62"/>
      <c r="E67" s="63"/>
      <c r="F67" s="63"/>
      <c r="G67" s="64"/>
      <c r="H67" s="64"/>
      <c r="I67" s="63"/>
      <c r="J67" s="63"/>
      <c r="K67" s="65"/>
      <c r="L67" s="66"/>
      <c r="M67" s="67"/>
      <c r="N67" s="67"/>
      <c r="O67" s="67"/>
      <c r="P67" s="67"/>
      <c r="Q67" s="71"/>
      <c r="R67" s="79"/>
      <c r="S67" s="79"/>
      <c r="T67" s="53">
        <f t="shared" si="0"/>
        <v>0</v>
      </c>
      <c r="U67" s="6">
        <f t="shared" si="1"/>
        <v>0</v>
      </c>
    </row>
    <row r="68" s="53" customFormat="1" outlineLevel="1">
      <c r="A68" s="2">
        <f t="shared" si="2"/>
        <v>45</v>
      </c>
      <c r="B68" s="57">
        <v>56</v>
      </c>
      <c r="C68" s="57">
        <v>30</v>
      </c>
      <c r="D68" s="57">
        <f>13.8+1.5</f>
        <v>15.300000000000001</v>
      </c>
      <c r="E68" s="57">
        <f>(E69)/2</f>
        <v>0</v>
      </c>
      <c r="F68" s="55"/>
      <c r="G68" s="69">
        <f t="shared" si="3"/>
        <v>0</v>
      </c>
      <c r="H68" s="69"/>
      <c r="I68" s="57">
        <f t="shared" si="4"/>
        <v>66.842640000000003</v>
      </c>
      <c r="J68" s="54">
        <f t="shared" si="5"/>
        <v>6.8799999999999999</v>
      </c>
      <c r="K68" s="58">
        <f t="shared" si="6"/>
        <v>459.87736319999999</v>
      </c>
      <c r="L68" s="59">
        <f t="shared" si="7"/>
        <v>0</v>
      </c>
      <c r="M68" s="60">
        <f t="shared" si="8"/>
        <v>0</v>
      </c>
      <c r="N68" s="70">
        <f t="shared" si="9"/>
        <v>0</v>
      </c>
      <c r="O68" s="60">
        <f t="shared" si="10"/>
        <v>459.87736319999999</v>
      </c>
      <c r="P68" s="60">
        <f t="shared" si="11"/>
        <v>0</v>
      </c>
      <c r="Q68" s="71">
        <f t="shared" si="12"/>
        <v>42.448909999999998</v>
      </c>
      <c r="R68" s="79">
        <f t="shared" si="13"/>
        <v>1.4223999999999999</v>
      </c>
      <c r="S68" s="79">
        <f t="shared" si="13"/>
        <v>0.76200000000000001</v>
      </c>
      <c r="T68" s="53">
        <f t="shared" si="0"/>
        <v>0</v>
      </c>
      <c r="U68" s="6">
        <f t="shared" si="1"/>
        <v>0</v>
      </c>
    </row>
    <row r="69" s="53" customFormat="1" outlineLevel="1">
      <c r="A69" s="2">
        <f t="shared" si="2"/>
        <v>46</v>
      </c>
      <c r="B69" s="57">
        <v>52</v>
      </c>
      <c r="C69" s="57">
        <v>30</v>
      </c>
      <c r="D69" s="57">
        <v>5.5</v>
      </c>
      <c r="E69" s="57"/>
      <c r="F69" s="55"/>
      <c r="G69" s="69">
        <f t="shared" si="3"/>
        <v>0</v>
      </c>
      <c r="H69" s="69"/>
      <c r="I69" s="57">
        <f t="shared" si="4"/>
        <v>22.910799999999998</v>
      </c>
      <c r="J69" s="81">
        <v>5.6500000000000004</v>
      </c>
      <c r="K69" s="58">
        <f t="shared" si="6"/>
        <v>129.44602</v>
      </c>
      <c r="L69" s="59">
        <f t="shared" si="7"/>
        <v>0</v>
      </c>
      <c r="M69" s="60">
        <f t="shared" si="8"/>
        <v>0</v>
      </c>
      <c r="N69" s="70">
        <f t="shared" si="9"/>
        <v>129.44602</v>
      </c>
      <c r="O69" s="60">
        <f t="shared" si="10"/>
        <v>0</v>
      </c>
      <c r="P69" s="60">
        <f t="shared" si="11"/>
        <v>0</v>
      </c>
      <c r="Q69" s="71">
        <f t="shared" si="12"/>
        <v>40.975119999999997</v>
      </c>
      <c r="R69" s="79">
        <f t="shared" si="13"/>
        <v>1.3208</v>
      </c>
      <c r="S69" s="79">
        <f t="shared" si="13"/>
        <v>0.76200000000000001</v>
      </c>
      <c r="T69" s="53">
        <f t="shared" si="0"/>
        <v>0</v>
      </c>
      <c r="U69" s="6">
        <f t="shared" si="1"/>
        <v>0</v>
      </c>
    </row>
    <row r="70" s="53" customFormat="1" outlineLevel="1">
      <c r="A70" s="2">
        <f t="shared" si="2"/>
        <v>47</v>
      </c>
      <c r="B70" s="57">
        <v>52</v>
      </c>
      <c r="C70" s="57">
        <v>26</v>
      </c>
      <c r="D70" s="57">
        <v>5.5</v>
      </c>
      <c r="E70" s="57"/>
      <c r="F70" s="55"/>
      <c r="G70" s="69">
        <f t="shared" si="3"/>
        <v>0</v>
      </c>
      <c r="H70" s="69"/>
      <c r="I70" s="57">
        <f t="shared" si="4"/>
        <v>21.793199999999999</v>
      </c>
      <c r="J70" s="81">
        <v>5.6500000000000004</v>
      </c>
      <c r="K70" s="58">
        <f t="shared" si="6"/>
        <v>123.13158</v>
      </c>
      <c r="L70" s="59">
        <f t="shared" si="7"/>
        <v>0</v>
      </c>
      <c r="M70" s="60">
        <f t="shared" si="8"/>
        <v>0</v>
      </c>
      <c r="N70" s="70">
        <f t="shared" si="9"/>
        <v>123.13158</v>
      </c>
      <c r="O70" s="60">
        <f t="shared" si="10"/>
        <v>0</v>
      </c>
      <c r="P70" s="60">
        <f t="shared" si="11"/>
        <v>0</v>
      </c>
      <c r="Q70" s="71">
        <f t="shared" si="12"/>
        <v>37.758399999999995</v>
      </c>
      <c r="R70" s="68">
        <f t="shared" si="13"/>
        <v>1.3208</v>
      </c>
      <c r="S70" s="74">
        <f t="shared" si="13"/>
        <v>0.66039999999999999</v>
      </c>
      <c r="T70" s="53">
        <f t="shared" si="0"/>
        <v>0</v>
      </c>
      <c r="U70" s="6">
        <f t="shared" si="1"/>
        <v>0</v>
      </c>
    </row>
    <row r="71" s="53" customFormat="1" outlineLevel="1">
      <c r="A71" s="2">
        <f t="shared" si="2"/>
        <v>48</v>
      </c>
      <c r="B71" s="57">
        <v>52</v>
      </c>
      <c r="C71" s="57">
        <v>24</v>
      </c>
      <c r="D71" s="57">
        <v>5.5</v>
      </c>
      <c r="E71" s="57"/>
      <c r="F71" s="55"/>
      <c r="G71" s="69">
        <f t="shared" si="3"/>
        <v>0</v>
      </c>
      <c r="H71" s="69"/>
      <c r="I71" s="57">
        <f t="shared" si="4"/>
        <v>21.234399999999997</v>
      </c>
      <c r="J71" s="54">
        <f t="shared" si="5"/>
        <v>5.6500000000000004</v>
      </c>
      <c r="K71" s="58">
        <f t="shared" si="6"/>
        <v>119.97435999999999</v>
      </c>
      <c r="L71" s="59">
        <f t="shared" si="7"/>
        <v>0</v>
      </c>
      <c r="M71" s="60">
        <f t="shared" si="8"/>
        <v>0</v>
      </c>
      <c r="N71" s="60">
        <f t="shared" si="9"/>
        <v>119.97435999999999</v>
      </c>
      <c r="O71" s="60">
        <f t="shared" si="10"/>
        <v>0</v>
      </c>
      <c r="P71" s="60">
        <f t="shared" si="11"/>
        <v>0</v>
      </c>
      <c r="Q71" s="71">
        <f t="shared" si="12"/>
        <v>36.03877</v>
      </c>
      <c r="R71" s="68">
        <f t="shared" si="13"/>
        <v>1.3208</v>
      </c>
      <c r="S71" s="74">
        <f t="shared" si="13"/>
        <v>0.60959999999999992</v>
      </c>
      <c r="T71" s="53">
        <f t="shared" si="0"/>
        <v>0</v>
      </c>
      <c r="U71" s="6">
        <f t="shared" si="1"/>
        <v>0</v>
      </c>
    </row>
    <row r="72" s="53" customFormat="1" outlineLevel="1">
      <c r="A72" s="2">
        <f t="shared" si="2"/>
        <v>49</v>
      </c>
      <c r="B72" s="57">
        <v>46</v>
      </c>
      <c r="C72" s="57">
        <v>24</v>
      </c>
      <c r="D72" s="73">
        <v>5.5</v>
      </c>
      <c r="E72" s="57"/>
      <c r="F72" s="55"/>
      <c r="G72" s="69">
        <f t="shared" si="3"/>
        <v>0</v>
      </c>
      <c r="H72" s="69"/>
      <c r="I72" s="57">
        <f t="shared" si="4"/>
        <v>19.558</v>
      </c>
      <c r="J72" s="54">
        <f t="shared" si="5"/>
        <v>5.6500000000000004</v>
      </c>
      <c r="K72" s="58">
        <f t="shared" si="6"/>
        <v>110.5027</v>
      </c>
      <c r="L72" s="59">
        <f t="shared" si="7"/>
        <v>0</v>
      </c>
      <c r="M72" s="60">
        <f t="shared" si="8"/>
        <v>0</v>
      </c>
      <c r="N72" s="60">
        <f t="shared" si="9"/>
        <v>110.5027</v>
      </c>
      <c r="O72" s="60">
        <f t="shared" si="10"/>
        <v>0</v>
      </c>
      <c r="P72" s="60">
        <f t="shared" si="11"/>
        <v>0</v>
      </c>
      <c r="Q72" s="71">
        <f t="shared" si="12"/>
        <v>34.018699999999995</v>
      </c>
      <c r="R72" s="68">
        <f t="shared" si="13"/>
        <v>1.1683999999999999</v>
      </c>
      <c r="S72" s="74">
        <f t="shared" si="13"/>
        <v>0.60959999999999992</v>
      </c>
      <c r="T72" s="53">
        <f t="shared" si="0"/>
        <v>0</v>
      </c>
      <c r="U72" s="6">
        <f t="shared" si="1"/>
        <v>0</v>
      </c>
    </row>
    <row r="73" s="53" customFormat="1" outlineLevel="1">
      <c r="A73" s="2">
        <f t="shared" si="2"/>
        <v>50</v>
      </c>
      <c r="B73" s="57">
        <v>46</v>
      </c>
      <c r="C73" s="57">
        <v>22</v>
      </c>
      <c r="D73" s="57">
        <v>5.5</v>
      </c>
      <c r="E73" s="57"/>
      <c r="F73" s="55"/>
      <c r="G73" s="69">
        <f t="shared" si="3"/>
        <v>0</v>
      </c>
      <c r="H73" s="69"/>
      <c r="I73" s="57">
        <f t="shared" si="4"/>
        <v>18.999199999999998</v>
      </c>
      <c r="J73" s="54">
        <f t="shared" si="5"/>
        <v>5.6500000000000004</v>
      </c>
      <c r="K73" s="58">
        <f t="shared" si="6"/>
        <v>107.34547999999999</v>
      </c>
      <c r="L73" s="59">
        <f t="shared" si="7"/>
        <v>0</v>
      </c>
      <c r="M73" s="60">
        <f t="shared" si="8"/>
        <v>0</v>
      </c>
      <c r="N73" s="60">
        <f t="shared" si="9"/>
        <v>107.34547999999999</v>
      </c>
      <c r="O73" s="60">
        <f t="shared" si="10"/>
        <v>0</v>
      </c>
      <c r="P73" s="60">
        <f t="shared" si="11"/>
        <v>0</v>
      </c>
      <c r="Q73" s="71">
        <f t="shared" si="12"/>
        <v>32.334379999999996</v>
      </c>
      <c r="R73" s="68">
        <f t="shared" si="13"/>
        <v>1.1683999999999999</v>
      </c>
      <c r="S73" s="74">
        <f t="shared" si="13"/>
        <v>0.55879999999999996</v>
      </c>
      <c r="T73" s="53">
        <f t="shared" si="0"/>
        <v>0</v>
      </c>
      <c r="U73" s="6">
        <f t="shared" si="1"/>
        <v>0</v>
      </c>
    </row>
    <row r="74" s="53" customFormat="1" outlineLevel="1">
      <c r="A74" s="2">
        <f t="shared" si="2"/>
        <v>51</v>
      </c>
      <c r="B74" s="57">
        <v>46</v>
      </c>
      <c r="C74" s="57">
        <v>20</v>
      </c>
      <c r="D74" s="57">
        <v>5.5</v>
      </c>
      <c r="E74" s="57"/>
      <c r="F74" s="55"/>
      <c r="G74" s="69">
        <f t="shared" si="3"/>
        <v>0</v>
      </c>
      <c r="H74" s="69"/>
      <c r="I74" s="57">
        <f t="shared" si="4"/>
        <v>18.4404</v>
      </c>
      <c r="J74" s="54">
        <f t="shared" si="5"/>
        <v>5.6500000000000004</v>
      </c>
      <c r="K74" s="58">
        <f t="shared" si="6"/>
        <v>104.18826000000001</v>
      </c>
      <c r="L74" s="59">
        <f t="shared" si="7"/>
        <v>0</v>
      </c>
      <c r="M74" s="60">
        <f t="shared" si="8"/>
        <v>0</v>
      </c>
      <c r="N74" s="60">
        <f t="shared" si="9"/>
        <v>104.18826000000001</v>
      </c>
      <c r="O74" s="60">
        <f t="shared" si="10"/>
        <v>0</v>
      </c>
      <c r="P74" s="60">
        <f t="shared" si="11"/>
        <v>0</v>
      </c>
      <c r="Q74" s="71">
        <f t="shared" si="12"/>
        <v>30.556299999999997</v>
      </c>
      <c r="R74" s="68">
        <f t="shared" si="13"/>
        <v>1.1683999999999999</v>
      </c>
      <c r="S74" s="74">
        <f t="shared" si="13"/>
        <v>0.50800000000000001</v>
      </c>
      <c r="T74" s="53">
        <f t="shared" si="0"/>
        <v>0</v>
      </c>
      <c r="U74" s="6">
        <f t="shared" si="1"/>
        <v>0</v>
      </c>
    </row>
    <row r="75" s="53" customFormat="1" outlineLevel="1">
      <c r="A75" s="2">
        <f t="shared" si="2"/>
        <v>52</v>
      </c>
      <c r="B75" s="57">
        <v>38</v>
      </c>
      <c r="C75" s="57">
        <v>20</v>
      </c>
      <c r="D75" s="57">
        <v>4.5</v>
      </c>
      <c r="E75" s="57"/>
      <c r="F75" s="55"/>
      <c r="G75" s="69">
        <f t="shared" si="3"/>
        <v>0</v>
      </c>
      <c r="H75" s="69"/>
      <c r="I75" s="57">
        <f t="shared" si="4"/>
        <v>13.258799999999999</v>
      </c>
      <c r="J75" s="54">
        <f t="shared" si="5"/>
        <v>5.6500000000000004</v>
      </c>
      <c r="K75" s="58">
        <f t="shared" si="6"/>
        <v>74.912220000000005</v>
      </c>
      <c r="L75" s="59">
        <f t="shared" si="7"/>
        <v>0</v>
      </c>
      <c r="M75" s="60">
        <f t="shared" si="8"/>
        <v>0</v>
      </c>
      <c r="N75" s="60">
        <f t="shared" si="9"/>
        <v>74.912220000000005</v>
      </c>
      <c r="O75" s="60">
        <f t="shared" si="10"/>
        <v>0</v>
      </c>
      <c r="P75" s="60">
        <f t="shared" si="11"/>
        <v>0</v>
      </c>
      <c r="Q75" s="71">
        <f t="shared" si="12"/>
        <v>27.925089999999997</v>
      </c>
      <c r="R75" s="68">
        <f t="shared" si="13"/>
        <v>0.96519999999999995</v>
      </c>
      <c r="S75" s="74">
        <f t="shared" si="13"/>
        <v>0.50800000000000001</v>
      </c>
      <c r="T75" s="53">
        <f t="shared" si="0"/>
        <v>0</v>
      </c>
      <c r="U75" s="6">
        <f t="shared" si="1"/>
        <v>0</v>
      </c>
    </row>
    <row r="76" s="53" customFormat="1" outlineLevel="1">
      <c r="A76" s="2">
        <f t="shared" si="2"/>
        <v>53</v>
      </c>
      <c r="B76" s="57">
        <v>34</v>
      </c>
      <c r="C76" s="57">
        <v>20</v>
      </c>
      <c r="D76" s="57">
        <v>4.5</v>
      </c>
      <c r="E76" s="57"/>
      <c r="F76" s="55"/>
      <c r="G76" s="69">
        <f t="shared" si="3"/>
        <v>0</v>
      </c>
      <c r="H76" s="69"/>
      <c r="I76" s="57">
        <f t="shared" si="4"/>
        <v>12.3444</v>
      </c>
      <c r="J76" s="54">
        <f t="shared" si="5"/>
        <v>5.6500000000000004</v>
      </c>
      <c r="K76" s="58">
        <f t="shared" si="6"/>
        <v>69.745860000000008</v>
      </c>
      <c r="L76" s="59">
        <f t="shared" si="7"/>
        <v>0</v>
      </c>
      <c r="M76" s="60">
        <f t="shared" si="8"/>
        <v>0</v>
      </c>
      <c r="N76" s="60">
        <f t="shared" si="9"/>
        <v>69.745860000000008</v>
      </c>
      <c r="O76" s="60">
        <f t="shared" si="10"/>
        <v>0</v>
      </c>
      <c r="P76" s="60">
        <f t="shared" si="11"/>
        <v>0</v>
      </c>
      <c r="Q76" s="71">
        <f t="shared" si="12"/>
        <v>26.463319999999996</v>
      </c>
      <c r="R76" s="68">
        <f t="shared" si="13"/>
        <v>0.86359999999999992</v>
      </c>
      <c r="S76" s="74">
        <f t="shared" si="13"/>
        <v>0.50800000000000001</v>
      </c>
      <c r="T76" s="53">
        <f t="shared" si="0"/>
        <v>0</v>
      </c>
      <c r="U76" s="6">
        <f t="shared" si="1"/>
        <v>0</v>
      </c>
    </row>
    <row r="77" s="53" customFormat="1" outlineLevel="1">
      <c r="A77" s="2">
        <f t="shared" si="2"/>
        <v>54</v>
      </c>
      <c r="B77" s="57">
        <v>34</v>
      </c>
      <c r="C77" s="57">
        <v>16</v>
      </c>
      <c r="D77" s="73">
        <v>4.5</v>
      </c>
      <c r="E77" s="73"/>
      <c r="F77" s="55"/>
      <c r="G77" s="69">
        <f t="shared" si="3"/>
        <v>0</v>
      </c>
      <c r="H77" s="80"/>
      <c r="I77" s="57">
        <f t="shared" si="4"/>
        <v>11.43</v>
      </c>
      <c r="J77" s="54">
        <f t="shared" si="5"/>
        <v>5.6500000000000004</v>
      </c>
      <c r="K77" s="58">
        <f t="shared" si="6"/>
        <v>64.579499999999996</v>
      </c>
      <c r="L77" s="59">
        <f t="shared" si="7"/>
        <v>0</v>
      </c>
      <c r="M77" s="60">
        <f t="shared" si="8"/>
        <v>0</v>
      </c>
      <c r="N77" s="60">
        <f t="shared" si="9"/>
        <v>64.579499999999996</v>
      </c>
      <c r="O77" s="60">
        <f t="shared" si="10"/>
        <v>0</v>
      </c>
      <c r="P77" s="60">
        <f t="shared" si="11"/>
        <v>0</v>
      </c>
      <c r="Q77" s="71">
        <f t="shared" si="12"/>
        <v>23.180669999999999</v>
      </c>
      <c r="R77" s="68">
        <f t="shared" si="13"/>
        <v>0.86359999999999992</v>
      </c>
      <c r="S77" s="74">
        <f t="shared" si="13"/>
        <v>0.40639999999999998</v>
      </c>
      <c r="T77" s="53">
        <f t="shared" si="0"/>
        <v>0</v>
      </c>
      <c r="U77" s="6">
        <f t="shared" si="1"/>
        <v>0</v>
      </c>
    </row>
    <row r="78" s="53" customFormat="1" outlineLevel="1">
      <c r="A78" s="2">
        <f t="shared" si="2"/>
        <v>55</v>
      </c>
      <c r="B78" s="57">
        <v>24</v>
      </c>
      <c r="C78" s="57">
        <v>16</v>
      </c>
      <c r="D78" s="57">
        <v>3</v>
      </c>
      <c r="E78" s="57"/>
      <c r="F78" s="55"/>
      <c r="G78" s="69">
        <f t="shared" si="3"/>
        <v>0</v>
      </c>
      <c r="H78" s="69"/>
      <c r="I78" s="57">
        <f t="shared" si="4"/>
        <v>6.0960000000000001</v>
      </c>
      <c r="J78" s="54">
        <f t="shared" si="5"/>
        <v>4.4299999999999997</v>
      </c>
      <c r="K78" s="58">
        <f t="shared" si="6"/>
        <v>27.005279999999999</v>
      </c>
      <c r="L78" s="59">
        <f t="shared" si="7"/>
        <v>0</v>
      </c>
      <c r="M78" s="60">
        <f t="shared" si="8"/>
        <v>27.005279999999999</v>
      </c>
      <c r="N78" s="60">
        <f t="shared" si="9"/>
        <v>0</v>
      </c>
      <c r="O78" s="60">
        <f t="shared" si="10"/>
        <v>0</v>
      </c>
      <c r="P78" s="60">
        <f t="shared" si="11"/>
        <v>0</v>
      </c>
      <c r="Q78" s="71">
        <f t="shared" si="12"/>
        <v>19.54853</v>
      </c>
      <c r="R78" s="68">
        <f t="shared" si="13"/>
        <v>0.60959999999999992</v>
      </c>
      <c r="S78" s="74">
        <f t="shared" si="13"/>
        <v>0.40639999999999998</v>
      </c>
      <c r="T78" s="53">
        <f t="shared" si="0"/>
        <v>0</v>
      </c>
      <c r="U78" s="6">
        <f t="shared" si="1"/>
        <v>0</v>
      </c>
    </row>
    <row r="79" s="53" customFormat="1" outlineLevel="1">
      <c r="A79" s="2">
        <f t="shared" si="2"/>
        <v>56</v>
      </c>
      <c r="B79" s="57">
        <v>24</v>
      </c>
      <c r="C79" s="57">
        <v>10</v>
      </c>
      <c r="D79" s="73">
        <v>2.3999999999999999</v>
      </c>
      <c r="E79" s="73"/>
      <c r="F79" s="55"/>
      <c r="G79" s="69">
        <f t="shared" si="3"/>
        <v>0</v>
      </c>
      <c r="H79" s="69"/>
      <c r="I79" s="57">
        <f t="shared" si="4"/>
        <v>4.1452799999999996</v>
      </c>
      <c r="J79" s="81">
        <v>5.6500000000000004</v>
      </c>
      <c r="K79" s="58">
        <f t="shared" si="6"/>
        <v>23.420832000000001</v>
      </c>
      <c r="L79" s="59">
        <f t="shared" si="7"/>
        <v>0</v>
      </c>
      <c r="M79" s="60">
        <f t="shared" si="8"/>
        <v>0</v>
      </c>
      <c r="N79" s="70">
        <f t="shared" si="9"/>
        <v>23.420832000000001</v>
      </c>
      <c r="O79" s="60">
        <f t="shared" si="10"/>
        <v>0</v>
      </c>
      <c r="P79" s="60">
        <f t="shared" si="11"/>
        <v>0</v>
      </c>
      <c r="Q79" s="71">
        <f t="shared" si="12"/>
        <v>14.605109999999998</v>
      </c>
      <c r="R79" s="68">
        <f t="shared" si="13"/>
        <v>0.60959999999999992</v>
      </c>
      <c r="S79" s="74">
        <f t="shared" si="13"/>
        <v>0.254</v>
      </c>
      <c r="T79" s="53">
        <f t="shared" si="0"/>
        <v>0</v>
      </c>
      <c r="U79" s="6">
        <f t="shared" si="1"/>
        <v>0</v>
      </c>
    </row>
    <row r="80" s="53" customFormat="1" outlineLevel="1">
      <c r="A80" s="2">
        <f t="shared" si="2"/>
        <v>57</v>
      </c>
      <c r="B80" s="57">
        <f>56</f>
        <v>56</v>
      </c>
      <c r="C80" s="57">
        <v>30</v>
      </c>
      <c r="D80" s="57">
        <f>7*2+1.2*2+0.6*2</f>
        <v>17.599999999999998</v>
      </c>
      <c r="E80" s="57"/>
      <c r="F80" s="55"/>
      <c r="G80" s="69">
        <f t="shared" si="3"/>
        <v>0</v>
      </c>
      <c r="H80" s="69"/>
      <c r="I80" s="57">
        <f t="shared" si="4"/>
        <v>76.890879999999996</v>
      </c>
      <c r="J80" s="81">
        <v>5.6500000000000004</v>
      </c>
      <c r="K80" s="58">
        <f t="shared" si="6"/>
        <v>434.43347199999999</v>
      </c>
      <c r="L80" s="59">
        <f t="shared" si="7"/>
        <v>0</v>
      </c>
      <c r="M80" s="60">
        <f t="shared" si="8"/>
        <v>0</v>
      </c>
      <c r="N80" s="70">
        <f t="shared" si="9"/>
        <v>434.43347199999999</v>
      </c>
      <c r="O80" s="60">
        <f t="shared" si="10"/>
        <v>0</v>
      </c>
      <c r="P80" s="60">
        <f t="shared" si="11"/>
        <v>0</v>
      </c>
      <c r="Q80" s="71">
        <f t="shared" si="12"/>
        <v>42.448909999999998</v>
      </c>
      <c r="R80" s="68">
        <f t="shared" si="13"/>
        <v>1.4223999999999999</v>
      </c>
      <c r="S80" s="74">
        <f t="shared" si="13"/>
        <v>0.76200000000000001</v>
      </c>
      <c r="T80" s="53">
        <f t="shared" ref="T80:T141" si="17">IF(B80&lt;&gt;"",(G80*G80)/(4005*4005),"")</f>
        <v>0</v>
      </c>
      <c r="U80" s="6">
        <f t="shared" ref="U80:U142" si="18">IF(T80&lt;&gt;"",T80*250,"")</f>
        <v>0</v>
      </c>
    </row>
    <row r="81" s="53" customFormat="1" outlineLevel="1">
      <c r="A81" s="2">
        <f t="shared" si="2"/>
        <v>58</v>
      </c>
      <c r="B81" s="57"/>
      <c r="C81" s="57"/>
      <c r="D81" s="57"/>
      <c r="E81" s="57"/>
      <c r="F81" s="55"/>
      <c r="G81" s="69" t="str">
        <f t="shared" si="3"/>
        <v/>
      </c>
      <c r="H81" s="69"/>
      <c r="I81" s="57">
        <f t="shared" si="4"/>
        <v>0</v>
      </c>
      <c r="J81" s="81">
        <v>5.6500000000000004</v>
      </c>
      <c r="K81" s="58">
        <f t="shared" si="6"/>
        <v>0</v>
      </c>
      <c r="L81" s="59">
        <f t="shared" si="7"/>
        <v>0</v>
      </c>
      <c r="M81" s="60">
        <f t="shared" si="8"/>
        <v>0</v>
      </c>
      <c r="N81" s="70">
        <f t="shared" si="9"/>
        <v>0</v>
      </c>
      <c r="O81" s="60">
        <f t="shared" si="10"/>
        <v>0</v>
      </c>
      <c r="P81" s="60">
        <f t="shared" si="11"/>
        <v>0</v>
      </c>
      <c r="Q81" s="71" t="str">
        <f t="shared" si="12"/>
        <v/>
      </c>
      <c r="R81" s="68">
        <f t="shared" si="13"/>
        <v>0</v>
      </c>
      <c r="S81" s="74">
        <f t="shared" si="13"/>
        <v>0</v>
      </c>
      <c r="T81" s="53" t="str">
        <f t="shared" si="17"/>
        <v/>
      </c>
      <c r="U81" s="6" t="str">
        <f t="shared" si="18"/>
        <v/>
      </c>
    </row>
    <row r="82" s="53" customFormat="1" outlineLevel="1">
      <c r="A82" s="2">
        <f t="shared" ref="A82:A142" si="19">A81+1</f>
        <v>59</v>
      </c>
      <c r="B82" s="55">
        <v>40</v>
      </c>
      <c r="C82" s="55">
        <v>8</v>
      </c>
      <c r="D82" s="75">
        <f>26*0.5</f>
        <v>13</v>
      </c>
      <c r="E82" s="75"/>
      <c r="F82" s="55"/>
      <c r="G82" s="76">
        <f t="shared" ref="G82:G112" si="20">IF(B82&lt;&gt;"",(ROUNDDOWN(E82/((POWER((Q82/12),2))*(3.1416/4)),2)),"")</f>
        <v>0</v>
      </c>
      <c r="H82" s="69"/>
      <c r="I82" s="57">
        <f t="shared" ref="I82:I116" si="21">(B82+C82)*2*0.0254*D82</f>
        <v>31.699199999999998</v>
      </c>
      <c r="J82" s="54">
        <f t="shared" ref="J82:J116" si="22">IF(OR(B82&gt;32,C82&gt;32),IF(OR(B82&gt;54,C82&gt;54),IF(OR(B82&gt;84,C82&gt;84),8.1,6.88),5.65),4.43)</f>
        <v>5.6500000000000004</v>
      </c>
      <c r="K82" s="58">
        <f t="shared" ref="K82:K116" si="23">+IF(B82&gt;60,0,IF(C82&gt;60,0,I82*J82))</f>
        <v>179.10048</v>
      </c>
      <c r="L82" s="59">
        <f t="shared" ref="L82:L116" si="24">+IF(B82&gt;60,I82*J82,IF(C82&gt;60,I82*J82,0))</f>
        <v>0</v>
      </c>
      <c r="M82" s="60">
        <f t="shared" ref="M82:M116" si="25">+IF(J82=4.43,+K82,0)</f>
        <v>0</v>
      </c>
      <c r="N82" s="60">
        <f t="shared" ref="N82:N116" si="26">+IF(J82=5.65,+K82,0)</f>
        <v>179.10048</v>
      </c>
      <c r="O82" s="60">
        <f t="shared" ref="O82:O116" si="27">+IF(J82=6.88,IF(K82=0,+L82)+K82,0)</f>
        <v>0</v>
      </c>
      <c r="P82" s="60">
        <f t="shared" ref="P82:P116" si="28">+IF(J82=8.1,+L82,0)</f>
        <v>0</v>
      </c>
      <c r="Q82" s="71">
        <f t="shared" ref="Q82:Q91" si="29">IF(B82&lt;&gt;"",IF($B$12="Ductos con PIRALU",(ROUNDDOWN(1.3*(POWER(((B82)*(C82)),0.625)/POWER(((B82)+(C82)),0.25)),5)),IF($B$12="AA ductos con aislamiento interno",(ROUNDDOWN(1.3*(POWER(((B82-0.5)*(C82-0.5)),0.625)/POWER(((B82-0.5)+(C82-0.5)),0.25)),5)),(ROUNDDOWN(1.3*(POWER((B82*C82),0.625)/POWER((B82+C82),0.25)),5)))),"")</f>
        <v>18.16986</v>
      </c>
      <c r="R82" s="68">
        <f t="shared" ref="R82:S116" si="30">B82*0.0254</f>
        <v>1.016</v>
      </c>
      <c r="S82" s="74">
        <f t="shared" si="30"/>
        <v>0.20319999999999999</v>
      </c>
      <c r="T82" s="53">
        <f t="shared" si="17"/>
        <v>0</v>
      </c>
      <c r="U82" s="6">
        <f t="shared" si="18"/>
        <v>0</v>
      </c>
    </row>
    <row r="83" s="53" customFormat="1" outlineLevel="1">
      <c r="A83" s="2">
        <f t="shared" si="19"/>
        <v>60</v>
      </c>
      <c r="B83" s="77"/>
      <c r="C83" s="77"/>
      <c r="D83" s="77"/>
      <c r="E83" s="77"/>
      <c r="F83" s="77"/>
      <c r="G83" s="78" t="str">
        <f t="shared" si="20"/>
        <v/>
      </c>
      <c r="H83" s="69"/>
      <c r="I83" s="57">
        <f t="shared" si="21"/>
        <v>0</v>
      </c>
      <c r="J83" s="54">
        <f t="shared" si="22"/>
        <v>4.4299999999999997</v>
      </c>
      <c r="K83" s="58">
        <f t="shared" si="23"/>
        <v>0</v>
      </c>
      <c r="L83" s="59">
        <f t="shared" si="24"/>
        <v>0</v>
      </c>
      <c r="M83" s="60">
        <f t="shared" si="25"/>
        <v>0</v>
      </c>
      <c r="N83" s="60">
        <f t="shared" si="26"/>
        <v>0</v>
      </c>
      <c r="O83" s="60">
        <f t="shared" si="27"/>
        <v>0</v>
      </c>
      <c r="P83" s="60">
        <f t="shared" si="28"/>
        <v>0</v>
      </c>
      <c r="Q83" s="71" t="str">
        <f t="shared" si="29"/>
        <v/>
      </c>
      <c r="R83" s="68">
        <f t="shared" si="30"/>
        <v>0</v>
      </c>
      <c r="S83" s="74">
        <f t="shared" si="30"/>
        <v>0</v>
      </c>
      <c r="T83" s="53" t="str">
        <f t="shared" si="17"/>
        <v/>
      </c>
      <c r="U83" s="6" t="str">
        <f t="shared" si="18"/>
        <v/>
      </c>
    </row>
    <row r="84" s="53" customFormat="1" outlineLevel="1">
      <c r="A84" s="2">
        <f t="shared" si="19"/>
        <v>61</v>
      </c>
      <c r="B84" s="55">
        <v>24</v>
      </c>
      <c r="C84" s="55">
        <v>24</v>
      </c>
      <c r="D84" s="75">
        <f>16*0.35</f>
        <v>5.5999999999999996</v>
      </c>
      <c r="E84" s="75"/>
      <c r="F84" s="55"/>
      <c r="G84" s="76">
        <f t="shared" si="20"/>
        <v>0</v>
      </c>
      <c r="H84" s="69"/>
      <c r="I84" s="57">
        <f t="shared" si="21"/>
        <v>13.655039999999998</v>
      </c>
      <c r="J84" s="54">
        <f t="shared" si="22"/>
        <v>4.4299999999999997</v>
      </c>
      <c r="K84" s="58">
        <f t="shared" si="23"/>
        <v>60.491827199999989</v>
      </c>
      <c r="L84" s="59">
        <f t="shared" si="24"/>
        <v>0</v>
      </c>
      <c r="M84" s="60">
        <f t="shared" si="25"/>
        <v>60.491827199999989</v>
      </c>
      <c r="N84" s="60">
        <f t="shared" si="26"/>
        <v>0</v>
      </c>
      <c r="O84" s="60">
        <f t="shared" si="27"/>
        <v>0</v>
      </c>
      <c r="P84" s="60">
        <f t="shared" si="28"/>
        <v>0</v>
      </c>
      <c r="Q84" s="71">
        <f t="shared" si="29"/>
        <v>26.235959999999999</v>
      </c>
      <c r="R84" s="68">
        <f t="shared" si="30"/>
        <v>0.60959999999999992</v>
      </c>
      <c r="S84" s="74">
        <f t="shared" si="30"/>
        <v>0.60959999999999992</v>
      </c>
      <c r="T84" s="53">
        <f t="shared" si="17"/>
        <v>0</v>
      </c>
      <c r="U84" s="6">
        <f t="shared" si="18"/>
        <v>0</v>
      </c>
    </row>
    <row r="85" s="53" customFormat="1" outlineLevel="1">
      <c r="A85" s="2">
        <f t="shared" si="19"/>
        <v>62</v>
      </c>
      <c r="B85" s="77"/>
      <c r="C85" s="77"/>
      <c r="D85" s="77"/>
      <c r="E85" s="77"/>
      <c r="F85" s="77"/>
      <c r="G85" s="78" t="str">
        <f t="shared" si="20"/>
        <v/>
      </c>
      <c r="H85" s="69"/>
      <c r="I85" s="57">
        <f t="shared" si="21"/>
        <v>0</v>
      </c>
      <c r="J85" s="54">
        <f t="shared" si="22"/>
        <v>4.4299999999999997</v>
      </c>
      <c r="K85" s="58">
        <f t="shared" si="23"/>
        <v>0</v>
      </c>
      <c r="L85" s="59">
        <f t="shared" si="24"/>
        <v>0</v>
      </c>
      <c r="M85" s="60">
        <f t="shared" si="25"/>
        <v>0</v>
      </c>
      <c r="N85" s="60">
        <f t="shared" si="26"/>
        <v>0</v>
      </c>
      <c r="O85" s="60">
        <f t="shared" si="27"/>
        <v>0</v>
      </c>
      <c r="P85" s="60">
        <f t="shared" si="28"/>
        <v>0</v>
      </c>
      <c r="Q85" s="71" t="str">
        <f t="shared" si="29"/>
        <v/>
      </c>
      <c r="R85" s="74">
        <f t="shared" si="30"/>
        <v>0</v>
      </c>
      <c r="S85" s="74">
        <f t="shared" si="30"/>
        <v>0</v>
      </c>
      <c r="T85" s="53" t="str">
        <f t="shared" si="17"/>
        <v/>
      </c>
      <c r="U85" s="6" t="str">
        <f t="shared" si="18"/>
        <v/>
      </c>
    </row>
    <row r="86" s="53" customFormat="1" outlineLevel="1">
      <c r="A86" s="2">
        <f t="shared" si="19"/>
        <v>63</v>
      </c>
      <c r="B86" s="55"/>
      <c r="C86" s="55"/>
      <c r="D86" s="75"/>
      <c r="E86" s="55"/>
      <c r="F86" s="55"/>
      <c r="G86" s="76" t="str">
        <f t="shared" si="20"/>
        <v/>
      </c>
      <c r="H86" s="69"/>
      <c r="I86" s="57">
        <f t="shared" si="21"/>
        <v>0</v>
      </c>
      <c r="J86" s="54">
        <f t="shared" si="22"/>
        <v>4.4299999999999997</v>
      </c>
      <c r="K86" s="58">
        <f t="shared" si="23"/>
        <v>0</v>
      </c>
      <c r="L86" s="59">
        <f t="shared" si="24"/>
        <v>0</v>
      </c>
      <c r="M86" s="60">
        <f t="shared" si="25"/>
        <v>0</v>
      </c>
      <c r="N86" s="60">
        <f t="shared" si="26"/>
        <v>0</v>
      </c>
      <c r="O86" s="60">
        <f t="shared" si="27"/>
        <v>0</v>
      </c>
      <c r="P86" s="60">
        <f t="shared" si="28"/>
        <v>0</v>
      </c>
      <c r="Q86" s="71" t="str">
        <f t="shared" si="29"/>
        <v/>
      </c>
      <c r="R86" s="74">
        <f t="shared" si="30"/>
        <v>0</v>
      </c>
      <c r="S86" s="74">
        <f t="shared" si="30"/>
        <v>0</v>
      </c>
      <c r="T86" s="53" t="str">
        <f t="shared" si="17"/>
        <v/>
      </c>
      <c r="U86" s="6" t="str">
        <f t="shared" si="18"/>
        <v/>
      </c>
    </row>
    <row r="87" s="53" customFormat="1" outlineLevel="1">
      <c r="A87" s="2">
        <f t="shared" si="19"/>
        <v>64</v>
      </c>
      <c r="B87" s="77"/>
      <c r="C87" s="77"/>
      <c r="D87" s="77"/>
      <c r="E87" s="77"/>
      <c r="F87" s="77"/>
      <c r="G87" s="78" t="str">
        <f t="shared" si="20"/>
        <v/>
      </c>
      <c r="H87" s="69"/>
      <c r="I87" s="57">
        <f t="shared" si="21"/>
        <v>0</v>
      </c>
      <c r="J87" s="54">
        <f t="shared" si="22"/>
        <v>4.4299999999999997</v>
      </c>
      <c r="K87" s="58">
        <f t="shared" si="23"/>
        <v>0</v>
      </c>
      <c r="L87" s="59">
        <f t="shared" si="24"/>
        <v>0</v>
      </c>
      <c r="M87" s="60">
        <f t="shared" si="25"/>
        <v>0</v>
      </c>
      <c r="N87" s="60">
        <f t="shared" si="26"/>
        <v>0</v>
      </c>
      <c r="O87" s="60">
        <f t="shared" si="27"/>
        <v>0</v>
      </c>
      <c r="P87" s="60">
        <f t="shared" si="28"/>
        <v>0</v>
      </c>
      <c r="Q87" s="71" t="str">
        <f t="shared" si="29"/>
        <v/>
      </c>
      <c r="R87" s="74">
        <f t="shared" si="30"/>
        <v>0</v>
      </c>
      <c r="S87" s="74">
        <f t="shared" si="30"/>
        <v>0</v>
      </c>
      <c r="T87" s="53" t="str">
        <f t="shared" si="17"/>
        <v/>
      </c>
      <c r="U87" s="6" t="str">
        <f t="shared" si="18"/>
        <v/>
      </c>
    </row>
    <row r="88" s="53" customFormat="1" outlineLevel="1">
      <c r="A88" s="2">
        <f t="shared" si="19"/>
        <v>65</v>
      </c>
      <c r="B88" s="82"/>
      <c r="C88" s="75"/>
      <c r="D88" s="75"/>
      <c r="E88" s="55"/>
      <c r="F88" s="55"/>
      <c r="G88" s="76"/>
      <c r="H88" s="69"/>
      <c r="I88" s="57">
        <f t="shared" si="21"/>
        <v>0</v>
      </c>
      <c r="J88" s="54">
        <f t="shared" si="22"/>
        <v>4.4299999999999997</v>
      </c>
      <c r="K88" s="58">
        <f t="shared" si="23"/>
        <v>0</v>
      </c>
      <c r="L88" s="59">
        <f t="shared" si="24"/>
        <v>0</v>
      </c>
      <c r="M88" s="60">
        <f t="shared" si="25"/>
        <v>0</v>
      </c>
      <c r="N88" s="60">
        <f t="shared" si="26"/>
        <v>0</v>
      </c>
      <c r="O88" s="60">
        <f t="shared" si="27"/>
        <v>0</v>
      </c>
      <c r="P88" s="60">
        <f t="shared" si="28"/>
        <v>0</v>
      </c>
      <c r="Q88" s="71" t="str">
        <f t="shared" si="29"/>
        <v/>
      </c>
      <c r="R88" s="79">
        <f t="shared" si="30"/>
        <v>0</v>
      </c>
      <c r="S88" s="79">
        <f t="shared" si="30"/>
        <v>0</v>
      </c>
      <c r="T88" s="53" t="str">
        <f t="shared" si="17"/>
        <v/>
      </c>
      <c r="U88" s="6" t="str">
        <f t="shared" si="18"/>
        <v/>
      </c>
    </row>
    <row r="89" s="53" customFormat="1" outlineLevel="1">
      <c r="A89" s="2">
        <f t="shared" si="19"/>
        <v>66</v>
      </c>
      <c r="B89" s="77"/>
      <c r="C89" s="77"/>
      <c r="D89" s="77"/>
      <c r="E89" s="77"/>
      <c r="F89" s="77"/>
      <c r="G89" s="78"/>
      <c r="H89" s="69"/>
      <c r="I89" s="57">
        <f t="shared" si="21"/>
        <v>0</v>
      </c>
      <c r="J89" s="54">
        <f t="shared" si="22"/>
        <v>4.4299999999999997</v>
      </c>
      <c r="K89" s="58">
        <f t="shared" si="23"/>
        <v>0</v>
      </c>
      <c r="L89" s="59">
        <f t="shared" si="24"/>
        <v>0</v>
      </c>
      <c r="M89" s="60">
        <f t="shared" si="25"/>
        <v>0</v>
      </c>
      <c r="N89" s="60">
        <f t="shared" si="26"/>
        <v>0</v>
      </c>
      <c r="O89" s="60">
        <f t="shared" si="27"/>
        <v>0</v>
      </c>
      <c r="P89" s="60">
        <f t="shared" si="28"/>
        <v>0</v>
      </c>
      <c r="Q89" s="71" t="str">
        <f t="shared" si="29"/>
        <v/>
      </c>
      <c r="R89" s="79">
        <f t="shared" si="30"/>
        <v>0</v>
      </c>
      <c r="S89" s="79">
        <f t="shared" si="30"/>
        <v>0</v>
      </c>
      <c r="T89" s="53" t="str">
        <f t="shared" si="17"/>
        <v/>
      </c>
      <c r="U89" s="6" t="str">
        <f t="shared" si="18"/>
        <v/>
      </c>
    </row>
    <row r="90" s="53" customFormat="1" outlineLevel="1" collapsed="1">
      <c r="A90" s="2">
        <f t="shared" si="19"/>
        <v>67</v>
      </c>
      <c r="B90" s="82"/>
      <c r="C90" s="75"/>
      <c r="D90" s="75"/>
      <c r="E90" s="55"/>
      <c r="F90" s="55"/>
      <c r="G90" s="76"/>
      <c r="H90" s="69"/>
      <c r="I90" s="57">
        <f t="shared" si="21"/>
        <v>0</v>
      </c>
      <c r="J90" s="54">
        <f t="shared" si="22"/>
        <v>4.4299999999999997</v>
      </c>
      <c r="K90" s="58">
        <f t="shared" si="23"/>
        <v>0</v>
      </c>
      <c r="L90" s="59">
        <f t="shared" si="24"/>
        <v>0</v>
      </c>
      <c r="M90" s="60">
        <f t="shared" si="25"/>
        <v>0</v>
      </c>
      <c r="N90" s="60">
        <f t="shared" si="26"/>
        <v>0</v>
      </c>
      <c r="O90" s="60">
        <f t="shared" si="27"/>
        <v>0</v>
      </c>
      <c r="P90" s="60">
        <f t="shared" si="28"/>
        <v>0</v>
      </c>
      <c r="Q90" s="71" t="str">
        <f t="shared" si="29"/>
        <v/>
      </c>
      <c r="R90" s="79">
        <f t="shared" si="30"/>
        <v>0</v>
      </c>
      <c r="S90" s="79">
        <f t="shared" si="30"/>
        <v>0</v>
      </c>
      <c r="U90" s="6" t="str">
        <f t="shared" si="18"/>
        <v/>
      </c>
    </row>
    <row r="91" s="53" customFormat="1" outlineLevel="1">
      <c r="A91" s="2">
        <f t="shared" si="19"/>
        <v>68</v>
      </c>
      <c r="B91" s="77"/>
      <c r="C91" s="77"/>
      <c r="D91" s="77"/>
      <c r="E91" s="77"/>
      <c r="F91" s="77"/>
      <c r="G91" s="78"/>
      <c r="H91" s="69"/>
      <c r="I91" s="57">
        <f t="shared" si="21"/>
        <v>0</v>
      </c>
      <c r="J91" s="54">
        <f t="shared" si="22"/>
        <v>4.4299999999999997</v>
      </c>
      <c r="K91" s="58">
        <f t="shared" si="23"/>
        <v>0</v>
      </c>
      <c r="L91" s="59">
        <f t="shared" si="24"/>
        <v>0</v>
      </c>
      <c r="M91" s="60">
        <f t="shared" si="25"/>
        <v>0</v>
      </c>
      <c r="N91" s="60">
        <f t="shared" si="26"/>
        <v>0</v>
      </c>
      <c r="O91" s="60">
        <f t="shared" si="27"/>
        <v>0</v>
      </c>
      <c r="P91" s="60">
        <f t="shared" si="28"/>
        <v>0</v>
      </c>
      <c r="Q91" s="71" t="str">
        <f t="shared" si="29"/>
        <v/>
      </c>
      <c r="R91" s="79">
        <f t="shared" si="30"/>
        <v>0</v>
      </c>
      <c r="S91" s="79">
        <f t="shared" si="30"/>
        <v>0</v>
      </c>
      <c r="T91" s="53" t="str">
        <f t="shared" si="17"/>
        <v/>
      </c>
      <c r="U91" s="6" t="str">
        <f t="shared" si="18"/>
        <v/>
      </c>
    </row>
    <row r="92" s="53" customFormat="1">
      <c r="A92" s="2">
        <f t="shared" si="19"/>
        <v>69</v>
      </c>
      <c r="B92" s="83" t="s">
        <v>45</v>
      </c>
      <c r="C92" s="62"/>
      <c r="D92" s="62"/>
      <c r="E92" s="63"/>
      <c r="F92" s="63"/>
      <c r="G92" s="64"/>
      <c r="H92" s="64"/>
      <c r="I92" s="63"/>
      <c r="J92" s="63"/>
      <c r="K92" s="65"/>
      <c r="L92" s="66"/>
      <c r="M92" s="67"/>
      <c r="N92" s="67"/>
      <c r="O92" s="67"/>
      <c r="P92" s="67"/>
      <c r="Q92" s="71"/>
      <c r="R92" s="79"/>
      <c r="S92" s="79"/>
      <c r="T92" s="53">
        <f t="shared" si="17"/>
        <v>0</v>
      </c>
      <c r="U92" s="6">
        <f t="shared" si="18"/>
        <v>0</v>
      </c>
    </row>
    <row r="93" s="53" customFormat="1" outlineLevel="1">
      <c r="A93" s="2">
        <f t="shared" si="19"/>
        <v>70</v>
      </c>
      <c r="B93" s="57"/>
      <c r="C93" s="57"/>
      <c r="D93" s="57"/>
      <c r="E93" s="57"/>
      <c r="F93" s="55"/>
      <c r="G93" s="69" t="str">
        <f t="shared" si="20"/>
        <v/>
      </c>
      <c r="H93" s="69"/>
      <c r="I93" s="57">
        <f t="shared" si="21"/>
        <v>0</v>
      </c>
      <c r="J93" s="54">
        <f t="shared" si="22"/>
        <v>4.4299999999999997</v>
      </c>
      <c r="K93" s="58">
        <f t="shared" si="23"/>
        <v>0</v>
      </c>
      <c r="L93" s="59">
        <f t="shared" si="24"/>
        <v>0</v>
      </c>
      <c r="M93" s="60">
        <f t="shared" si="25"/>
        <v>0</v>
      </c>
      <c r="N93" s="70">
        <f t="shared" si="26"/>
        <v>0</v>
      </c>
      <c r="O93" s="60">
        <f t="shared" si="27"/>
        <v>0</v>
      </c>
      <c r="P93" s="60">
        <f t="shared" si="28"/>
        <v>0</v>
      </c>
      <c r="Q93" s="71" t="str">
        <f t="shared" ref="Q93:Q131" si="31">IF(B93&lt;&gt;"",IF($B$12="Ductos con PIRALU",(ROUNDDOWN(1.3*(POWER(((B93-1.57)*(C93-1.57)),0.625)/POWER(((B93-1.57)+(C93-1.57)),0.25)),5)),IF($B$12="AA ductos con aislamiento interno",(ROUNDDOWN(1.3*(POWER(((B93-0.5)*(C93-0.5)),0.625)/POWER(((B93-0.5)+(C93-0.5)),0.25)),5)),(ROUNDDOWN(1.3*(POWER((B93*C93),0.625)/POWER((B93+C93),0.25)),5)))),"")</f>
        <v/>
      </c>
      <c r="R93" s="79">
        <f t="shared" si="30"/>
        <v>0</v>
      </c>
      <c r="S93" s="79">
        <f t="shared" si="30"/>
        <v>0</v>
      </c>
      <c r="T93" s="53" t="str">
        <f t="shared" si="17"/>
        <v/>
      </c>
      <c r="U93" s="6" t="str">
        <f t="shared" si="18"/>
        <v/>
      </c>
    </row>
    <row r="94" s="6" customFormat="1" outlineLevel="1">
      <c r="A94" s="2">
        <f t="shared" si="19"/>
        <v>71</v>
      </c>
      <c r="B94" s="57"/>
      <c r="C94" s="57"/>
      <c r="D94" s="57"/>
      <c r="E94" s="57"/>
      <c r="F94" s="55"/>
      <c r="G94" s="69" t="str">
        <f t="shared" si="20"/>
        <v/>
      </c>
      <c r="H94" s="69"/>
      <c r="I94" s="57">
        <f t="shared" si="21"/>
        <v>0</v>
      </c>
      <c r="J94" s="54">
        <f t="shared" si="22"/>
        <v>4.4299999999999997</v>
      </c>
      <c r="K94" s="58">
        <f t="shared" si="23"/>
        <v>0</v>
      </c>
      <c r="L94" s="59">
        <f t="shared" si="24"/>
        <v>0</v>
      </c>
      <c r="M94" s="60">
        <f t="shared" si="25"/>
        <v>0</v>
      </c>
      <c r="N94" s="70">
        <f t="shared" si="26"/>
        <v>0</v>
      </c>
      <c r="O94" s="60">
        <f t="shared" si="27"/>
        <v>0</v>
      </c>
      <c r="P94" s="60">
        <f t="shared" si="28"/>
        <v>0</v>
      </c>
      <c r="Q94" s="71" t="str">
        <f t="shared" si="31"/>
        <v/>
      </c>
      <c r="R94" s="79">
        <f t="shared" si="30"/>
        <v>0</v>
      </c>
      <c r="S94" s="79">
        <f t="shared" si="30"/>
        <v>0</v>
      </c>
      <c r="T94" s="53" t="str">
        <f t="shared" si="17"/>
        <v/>
      </c>
      <c r="U94" s="6" t="str">
        <f t="shared" si="18"/>
        <v/>
      </c>
    </row>
    <row r="95" s="6" customFormat="1" outlineLevel="1">
      <c r="A95" s="2">
        <f t="shared" si="19"/>
        <v>72</v>
      </c>
      <c r="B95" s="57"/>
      <c r="C95" s="57"/>
      <c r="D95" s="57"/>
      <c r="E95" s="57"/>
      <c r="F95" s="55"/>
      <c r="G95" s="69" t="str">
        <f t="shared" si="20"/>
        <v/>
      </c>
      <c r="H95" s="69"/>
      <c r="I95" s="57">
        <f t="shared" si="21"/>
        <v>0</v>
      </c>
      <c r="J95" s="81">
        <v>5.6500000000000004</v>
      </c>
      <c r="K95" s="58">
        <f t="shared" si="23"/>
        <v>0</v>
      </c>
      <c r="L95" s="59">
        <f t="shared" si="24"/>
        <v>0</v>
      </c>
      <c r="M95" s="60">
        <f t="shared" si="25"/>
        <v>0</v>
      </c>
      <c r="N95" s="70">
        <f t="shared" si="26"/>
        <v>0</v>
      </c>
      <c r="O95" s="60">
        <f t="shared" si="27"/>
        <v>0</v>
      </c>
      <c r="P95" s="60">
        <f t="shared" si="28"/>
        <v>0</v>
      </c>
      <c r="Q95" s="71" t="str">
        <f t="shared" si="31"/>
        <v/>
      </c>
      <c r="R95" s="79">
        <f t="shared" si="30"/>
        <v>0</v>
      </c>
      <c r="S95" s="79">
        <f t="shared" si="30"/>
        <v>0</v>
      </c>
      <c r="T95" s="53" t="str">
        <f t="shared" si="17"/>
        <v/>
      </c>
      <c r="U95" s="6" t="str">
        <f t="shared" si="18"/>
        <v/>
      </c>
    </row>
    <row r="96" s="6" customFormat="1" outlineLevel="1">
      <c r="A96" s="2">
        <f t="shared" si="19"/>
        <v>73</v>
      </c>
      <c r="B96" s="57"/>
      <c r="C96" s="57"/>
      <c r="D96" s="57"/>
      <c r="E96" s="57"/>
      <c r="F96" s="55"/>
      <c r="G96" s="69" t="str">
        <f t="shared" si="20"/>
        <v/>
      </c>
      <c r="H96" s="69"/>
      <c r="I96" s="57">
        <f t="shared" si="21"/>
        <v>0</v>
      </c>
      <c r="J96" s="81">
        <v>5.6500000000000004</v>
      </c>
      <c r="K96" s="58">
        <f t="shared" si="23"/>
        <v>0</v>
      </c>
      <c r="L96" s="59">
        <f t="shared" si="24"/>
        <v>0</v>
      </c>
      <c r="M96" s="60">
        <f t="shared" si="25"/>
        <v>0</v>
      </c>
      <c r="N96" s="70">
        <f t="shared" si="26"/>
        <v>0</v>
      </c>
      <c r="O96" s="60">
        <f t="shared" si="27"/>
        <v>0</v>
      </c>
      <c r="P96" s="60">
        <f t="shared" si="28"/>
        <v>0</v>
      </c>
      <c r="Q96" s="71" t="str">
        <f t="shared" si="31"/>
        <v/>
      </c>
      <c r="R96" s="79">
        <f t="shared" si="30"/>
        <v>0</v>
      </c>
      <c r="S96" s="79">
        <f t="shared" si="30"/>
        <v>0</v>
      </c>
      <c r="T96" s="53" t="str">
        <f t="shared" si="17"/>
        <v/>
      </c>
      <c r="U96" s="6" t="str">
        <f t="shared" si="18"/>
        <v/>
      </c>
    </row>
    <row r="97" s="6" customFormat="1" outlineLevel="1">
      <c r="A97" s="2">
        <f t="shared" si="19"/>
        <v>74</v>
      </c>
      <c r="B97" s="57"/>
      <c r="C97" s="57"/>
      <c r="D97" s="73"/>
      <c r="E97" s="57"/>
      <c r="F97" s="55"/>
      <c r="G97" s="69" t="str">
        <f t="shared" si="20"/>
        <v/>
      </c>
      <c r="H97" s="69"/>
      <c r="I97" s="57">
        <f t="shared" si="21"/>
        <v>0</v>
      </c>
      <c r="J97" s="54">
        <f t="shared" si="22"/>
        <v>4.4299999999999997</v>
      </c>
      <c r="K97" s="58">
        <f t="shared" si="23"/>
        <v>0</v>
      </c>
      <c r="L97" s="59">
        <f t="shared" si="24"/>
        <v>0</v>
      </c>
      <c r="M97" s="60">
        <f t="shared" si="25"/>
        <v>0</v>
      </c>
      <c r="N97" s="60">
        <f t="shared" si="26"/>
        <v>0</v>
      </c>
      <c r="O97" s="60">
        <f t="shared" si="27"/>
        <v>0</v>
      </c>
      <c r="P97" s="60">
        <f t="shared" si="28"/>
        <v>0</v>
      </c>
      <c r="Q97" s="71" t="str">
        <f t="shared" si="31"/>
        <v/>
      </c>
      <c r="R97" s="79">
        <f t="shared" si="30"/>
        <v>0</v>
      </c>
      <c r="S97" s="79">
        <f t="shared" si="30"/>
        <v>0</v>
      </c>
      <c r="T97" s="53" t="str">
        <f t="shared" si="17"/>
        <v/>
      </c>
      <c r="U97" s="6" t="str">
        <f t="shared" si="18"/>
        <v/>
      </c>
    </row>
    <row r="98" s="6" customFormat="1" outlineLevel="1">
      <c r="A98" s="2">
        <f t="shared" si="19"/>
        <v>75</v>
      </c>
      <c r="B98" s="57"/>
      <c r="C98" s="57"/>
      <c r="D98" s="57"/>
      <c r="E98" s="57"/>
      <c r="F98" s="55"/>
      <c r="G98" s="69" t="str">
        <f t="shared" si="20"/>
        <v/>
      </c>
      <c r="H98" s="69"/>
      <c r="I98" s="57">
        <f t="shared" si="21"/>
        <v>0</v>
      </c>
      <c r="J98" s="54">
        <f t="shared" si="22"/>
        <v>4.4299999999999997</v>
      </c>
      <c r="K98" s="58">
        <f t="shared" si="23"/>
        <v>0</v>
      </c>
      <c r="L98" s="59">
        <f t="shared" si="24"/>
        <v>0</v>
      </c>
      <c r="M98" s="60">
        <f t="shared" si="25"/>
        <v>0</v>
      </c>
      <c r="N98" s="60">
        <f t="shared" si="26"/>
        <v>0</v>
      </c>
      <c r="O98" s="60">
        <f t="shared" si="27"/>
        <v>0</v>
      </c>
      <c r="P98" s="60">
        <f t="shared" si="28"/>
        <v>0</v>
      </c>
      <c r="Q98" s="71" t="str">
        <f t="shared" si="31"/>
        <v/>
      </c>
      <c r="R98" s="79">
        <f t="shared" si="30"/>
        <v>0</v>
      </c>
      <c r="S98" s="79">
        <f t="shared" si="30"/>
        <v>0</v>
      </c>
      <c r="T98" s="53" t="str">
        <f t="shared" si="17"/>
        <v/>
      </c>
      <c r="U98" s="6" t="str">
        <f t="shared" si="18"/>
        <v/>
      </c>
    </row>
    <row r="99" s="6" customFormat="1" outlineLevel="1">
      <c r="A99" s="2">
        <f t="shared" si="19"/>
        <v>76</v>
      </c>
      <c r="B99" s="57"/>
      <c r="C99" s="57"/>
      <c r="D99" s="57"/>
      <c r="E99" s="57"/>
      <c r="F99" s="55"/>
      <c r="G99" s="69" t="str">
        <f t="shared" si="20"/>
        <v/>
      </c>
      <c r="H99" s="69"/>
      <c r="I99" s="57">
        <f t="shared" si="21"/>
        <v>0</v>
      </c>
      <c r="J99" s="54">
        <f t="shared" si="22"/>
        <v>4.4299999999999997</v>
      </c>
      <c r="K99" s="58">
        <f t="shared" si="23"/>
        <v>0</v>
      </c>
      <c r="L99" s="59">
        <f t="shared" si="24"/>
        <v>0</v>
      </c>
      <c r="M99" s="60">
        <f t="shared" si="25"/>
        <v>0</v>
      </c>
      <c r="N99" s="60">
        <f t="shared" si="26"/>
        <v>0</v>
      </c>
      <c r="O99" s="60">
        <f t="shared" si="27"/>
        <v>0</v>
      </c>
      <c r="P99" s="60">
        <f t="shared" si="28"/>
        <v>0</v>
      </c>
      <c r="Q99" s="71" t="str">
        <f t="shared" si="31"/>
        <v/>
      </c>
      <c r="R99" s="79">
        <f t="shared" si="30"/>
        <v>0</v>
      </c>
      <c r="S99" s="79">
        <f t="shared" si="30"/>
        <v>0</v>
      </c>
      <c r="T99" s="53" t="str">
        <f t="shared" si="17"/>
        <v/>
      </c>
      <c r="U99" s="6" t="str">
        <f t="shared" si="18"/>
        <v/>
      </c>
    </row>
    <row r="100" s="6" customFormat="1" outlineLevel="1">
      <c r="A100" s="2">
        <f t="shared" si="19"/>
        <v>77</v>
      </c>
      <c r="B100" s="57"/>
      <c r="C100" s="57"/>
      <c r="D100" s="57"/>
      <c r="E100" s="57"/>
      <c r="F100" s="55"/>
      <c r="G100" s="69" t="str">
        <f t="shared" si="20"/>
        <v/>
      </c>
      <c r="H100" s="69"/>
      <c r="I100" s="57">
        <f t="shared" si="21"/>
        <v>0</v>
      </c>
      <c r="J100" s="54">
        <f t="shared" si="22"/>
        <v>4.4299999999999997</v>
      </c>
      <c r="K100" s="58">
        <f t="shared" si="23"/>
        <v>0</v>
      </c>
      <c r="L100" s="59">
        <f t="shared" si="24"/>
        <v>0</v>
      </c>
      <c r="M100" s="60">
        <f t="shared" si="25"/>
        <v>0</v>
      </c>
      <c r="N100" s="60">
        <f t="shared" si="26"/>
        <v>0</v>
      </c>
      <c r="O100" s="60">
        <f t="shared" si="27"/>
        <v>0</v>
      </c>
      <c r="P100" s="60">
        <f t="shared" si="28"/>
        <v>0</v>
      </c>
      <c r="Q100" s="71" t="str">
        <f t="shared" si="31"/>
        <v/>
      </c>
      <c r="R100" s="79">
        <f t="shared" si="30"/>
        <v>0</v>
      </c>
      <c r="S100" s="79">
        <f t="shared" si="30"/>
        <v>0</v>
      </c>
      <c r="T100" s="53" t="str">
        <f t="shared" si="17"/>
        <v/>
      </c>
      <c r="U100" s="6" t="str">
        <f t="shared" si="18"/>
        <v/>
      </c>
    </row>
    <row r="101" s="6" customFormat="1" outlineLevel="1">
      <c r="A101" s="2">
        <f t="shared" si="19"/>
        <v>78</v>
      </c>
      <c r="B101" s="57"/>
      <c r="C101" s="57"/>
      <c r="D101" s="57"/>
      <c r="E101" s="57"/>
      <c r="F101" s="55"/>
      <c r="G101" s="69" t="str">
        <f t="shared" si="20"/>
        <v/>
      </c>
      <c r="H101" s="69"/>
      <c r="I101" s="57">
        <f t="shared" si="21"/>
        <v>0</v>
      </c>
      <c r="J101" s="54">
        <f t="shared" si="22"/>
        <v>4.4299999999999997</v>
      </c>
      <c r="K101" s="58">
        <f t="shared" si="23"/>
        <v>0</v>
      </c>
      <c r="L101" s="59">
        <f t="shared" si="24"/>
        <v>0</v>
      </c>
      <c r="M101" s="60">
        <f t="shared" si="25"/>
        <v>0</v>
      </c>
      <c r="N101" s="60">
        <f t="shared" si="26"/>
        <v>0</v>
      </c>
      <c r="O101" s="60">
        <f t="shared" si="27"/>
        <v>0</v>
      </c>
      <c r="P101" s="60">
        <f t="shared" si="28"/>
        <v>0</v>
      </c>
      <c r="Q101" s="71" t="str">
        <f t="shared" si="31"/>
        <v/>
      </c>
      <c r="R101" s="79">
        <f t="shared" si="30"/>
        <v>0</v>
      </c>
      <c r="S101" s="79">
        <f t="shared" si="30"/>
        <v>0</v>
      </c>
      <c r="T101" s="53" t="str">
        <f t="shared" si="17"/>
        <v/>
      </c>
      <c r="U101" s="6" t="str">
        <f t="shared" si="18"/>
        <v/>
      </c>
    </row>
    <row r="102" s="6" customFormat="1" outlineLevel="1">
      <c r="A102" s="2">
        <f t="shared" si="19"/>
        <v>79</v>
      </c>
      <c r="B102" s="57"/>
      <c r="C102" s="57"/>
      <c r="D102" s="73"/>
      <c r="E102" s="73"/>
      <c r="F102" s="55"/>
      <c r="G102" s="69" t="str">
        <f t="shared" si="20"/>
        <v/>
      </c>
      <c r="H102" s="69"/>
      <c r="I102" s="57">
        <f t="shared" si="21"/>
        <v>0</v>
      </c>
      <c r="J102" s="54">
        <f t="shared" si="22"/>
        <v>4.4299999999999997</v>
      </c>
      <c r="K102" s="58">
        <f t="shared" si="23"/>
        <v>0</v>
      </c>
      <c r="L102" s="59">
        <f t="shared" si="24"/>
        <v>0</v>
      </c>
      <c r="M102" s="60">
        <f t="shared" si="25"/>
        <v>0</v>
      </c>
      <c r="N102" s="60">
        <f t="shared" si="26"/>
        <v>0</v>
      </c>
      <c r="O102" s="60">
        <f t="shared" si="27"/>
        <v>0</v>
      </c>
      <c r="P102" s="60">
        <f t="shared" si="28"/>
        <v>0</v>
      </c>
      <c r="Q102" s="71" t="str">
        <f t="shared" si="31"/>
        <v/>
      </c>
      <c r="R102" s="79">
        <f t="shared" si="30"/>
        <v>0</v>
      </c>
      <c r="S102" s="79">
        <f t="shared" si="30"/>
        <v>0</v>
      </c>
      <c r="T102" s="53" t="str">
        <f t="shared" si="17"/>
        <v/>
      </c>
      <c r="U102" s="6" t="str">
        <f t="shared" si="18"/>
        <v/>
      </c>
    </row>
    <row r="103" s="6" customFormat="1" outlineLevel="1">
      <c r="A103" s="2">
        <f t="shared" si="19"/>
        <v>80</v>
      </c>
      <c r="B103" s="57"/>
      <c r="C103" s="57"/>
      <c r="D103" s="57"/>
      <c r="E103" s="57"/>
      <c r="F103" s="55"/>
      <c r="G103" s="69" t="str">
        <f t="shared" si="20"/>
        <v/>
      </c>
      <c r="H103" s="69"/>
      <c r="I103" s="57">
        <f t="shared" si="21"/>
        <v>0</v>
      </c>
      <c r="J103" s="54">
        <f t="shared" si="22"/>
        <v>4.4299999999999997</v>
      </c>
      <c r="K103" s="58">
        <f t="shared" si="23"/>
        <v>0</v>
      </c>
      <c r="L103" s="59">
        <f t="shared" si="24"/>
        <v>0</v>
      </c>
      <c r="M103" s="60">
        <f t="shared" si="25"/>
        <v>0</v>
      </c>
      <c r="N103" s="60">
        <f t="shared" si="26"/>
        <v>0</v>
      </c>
      <c r="O103" s="60">
        <f t="shared" si="27"/>
        <v>0</v>
      </c>
      <c r="P103" s="60">
        <f t="shared" si="28"/>
        <v>0</v>
      </c>
      <c r="Q103" s="71" t="str">
        <f t="shared" si="31"/>
        <v/>
      </c>
      <c r="R103" s="79">
        <f t="shared" si="30"/>
        <v>0</v>
      </c>
      <c r="S103" s="79">
        <f t="shared" si="30"/>
        <v>0</v>
      </c>
      <c r="T103" s="53" t="str">
        <f t="shared" si="17"/>
        <v/>
      </c>
      <c r="U103" s="6" t="str">
        <f t="shared" si="18"/>
        <v/>
      </c>
    </row>
    <row r="104" s="6" customFormat="1" outlineLevel="1">
      <c r="A104" s="2">
        <f t="shared" si="19"/>
        <v>81</v>
      </c>
      <c r="B104" s="57"/>
      <c r="C104" s="57"/>
      <c r="D104" s="73"/>
      <c r="E104" s="73"/>
      <c r="F104" s="55"/>
      <c r="G104" s="69" t="str">
        <f t="shared" si="20"/>
        <v/>
      </c>
      <c r="H104" s="69"/>
      <c r="I104" s="57">
        <f t="shared" si="21"/>
        <v>0</v>
      </c>
      <c r="J104" s="54">
        <f t="shared" si="22"/>
        <v>4.4299999999999997</v>
      </c>
      <c r="K104" s="58">
        <f t="shared" si="23"/>
        <v>0</v>
      </c>
      <c r="L104" s="59">
        <f t="shared" si="24"/>
        <v>0</v>
      </c>
      <c r="M104" s="60">
        <f t="shared" si="25"/>
        <v>0</v>
      </c>
      <c r="N104" s="60">
        <f t="shared" si="26"/>
        <v>0</v>
      </c>
      <c r="O104" s="60">
        <f t="shared" si="27"/>
        <v>0</v>
      </c>
      <c r="P104" s="60">
        <f t="shared" si="28"/>
        <v>0</v>
      </c>
      <c r="Q104" s="71" t="str">
        <f t="shared" si="31"/>
        <v/>
      </c>
      <c r="R104" s="79">
        <f t="shared" si="30"/>
        <v>0</v>
      </c>
      <c r="S104" s="79">
        <f t="shared" si="30"/>
        <v>0</v>
      </c>
      <c r="T104" s="53" t="str">
        <f t="shared" si="17"/>
        <v/>
      </c>
      <c r="U104" s="6" t="str">
        <f t="shared" si="18"/>
        <v/>
      </c>
    </row>
    <row r="105" s="6" customFormat="1" outlineLevel="1">
      <c r="A105" s="2">
        <f t="shared" si="19"/>
        <v>82</v>
      </c>
      <c r="B105" s="57"/>
      <c r="C105" s="57"/>
      <c r="D105" s="57"/>
      <c r="E105" s="57"/>
      <c r="F105" s="55"/>
      <c r="G105" s="69" t="str">
        <f t="shared" si="20"/>
        <v/>
      </c>
      <c r="H105" s="69"/>
      <c r="I105" s="57">
        <f t="shared" si="21"/>
        <v>0</v>
      </c>
      <c r="J105" s="54">
        <f t="shared" si="22"/>
        <v>4.4299999999999997</v>
      </c>
      <c r="K105" s="58">
        <f t="shared" si="23"/>
        <v>0</v>
      </c>
      <c r="L105" s="59">
        <f t="shared" si="24"/>
        <v>0</v>
      </c>
      <c r="M105" s="60">
        <f t="shared" si="25"/>
        <v>0</v>
      </c>
      <c r="N105" s="60">
        <f t="shared" si="26"/>
        <v>0</v>
      </c>
      <c r="O105" s="60">
        <f t="shared" si="27"/>
        <v>0</v>
      </c>
      <c r="P105" s="60">
        <f t="shared" si="28"/>
        <v>0</v>
      </c>
      <c r="Q105" s="71" t="str">
        <f t="shared" si="31"/>
        <v/>
      </c>
      <c r="R105" s="79">
        <f t="shared" si="30"/>
        <v>0</v>
      </c>
      <c r="S105" s="79">
        <f t="shared" si="30"/>
        <v>0</v>
      </c>
      <c r="T105" s="53" t="str">
        <f t="shared" si="17"/>
        <v/>
      </c>
      <c r="U105" s="6" t="str">
        <f t="shared" si="18"/>
        <v/>
      </c>
    </row>
    <row r="106" s="6" customFormat="1" outlineLevel="1">
      <c r="A106" s="2">
        <f t="shared" si="19"/>
        <v>83</v>
      </c>
      <c r="B106" s="57"/>
      <c r="C106" s="57"/>
      <c r="D106" s="57"/>
      <c r="E106" s="57"/>
      <c r="F106" s="55"/>
      <c r="G106" s="69" t="str">
        <f t="shared" si="20"/>
        <v/>
      </c>
      <c r="H106" s="69"/>
      <c r="I106" s="57">
        <f t="shared" si="21"/>
        <v>0</v>
      </c>
      <c r="J106" s="54">
        <f t="shared" si="22"/>
        <v>4.4299999999999997</v>
      </c>
      <c r="K106" s="58">
        <f t="shared" si="23"/>
        <v>0</v>
      </c>
      <c r="L106" s="59">
        <f t="shared" si="24"/>
        <v>0</v>
      </c>
      <c r="M106" s="60">
        <f t="shared" si="25"/>
        <v>0</v>
      </c>
      <c r="N106" s="60">
        <f t="shared" si="26"/>
        <v>0</v>
      </c>
      <c r="O106" s="60">
        <f t="shared" si="27"/>
        <v>0</v>
      </c>
      <c r="P106" s="60">
        <f t="shared" si="28"/>
        <v>0</v>
      </c>
      <c r="Q106" s="71" t="str">
        <f t="shared" si="31"/>
        <v/>
      </c>
      <c r="R106" s="79">
        <f t="shared" si="30"/>
        <v>0</v>
      </c>
      <c r="S106" s="79">
        <f t="shared" si="30"/>
        <v>0</v>
      </c>
      <c r="T106" s="53" t="str">
        <f t="shared" si="17"/>
        <v/>
      </c>
      <c r="U106" s="6" t="str">
        <f t="shared" si="18"/>
        <v/>
      </c>
    </row>
    <row r="107" s="6" customFormat="1" outlineLevel="1">
      <c r="A107" s="2">
        <f t="shared" si="19"/>
        <v>84</v>
      </c>
      <c r="B107" s="55"/>
      <c r="C107" s="55"/>
      <c r="D107" s="75"/>
      <c r="E107" s="75"/>
      <c r="F107" s="55"/>
      <c r="G107" s="76" t="str">
        <f t="shared" si="20"/>
        <v/>
      </c>
      <c r="H107" s="69"/>
      <c r="I107" s="57">
        <f t="shared" si="21"/>
        <v>0</v>
      </c>
      <c r="J107" s="54">
        <f t="shared" si="22"/>
        <v>4.4299999999999997</v>
      </c>
      <c r="K107" s="58">
        <f t="shared" si="23"/>
        <v>0</v>
      </c>
      <c r="L107" s="59">
        <f t="shared" si="24"/>
        <v>0</v>
      </c>
      <c r="M107" s="60">
        <f t="shared" si="25"/>
        <v>0</v>
      </c>
      <c r="N107" s="60">
        <f t="shared" si="26"/>
        <v>0</v>
      </c>
      <c r="O107" s="60">
        <f t="shared" si="27"/>
        <v>0</v>
      </c>
      <c r="P107" s="60">
        <f t="shared" si="28"/>
        <v>0</v>
      </c>
      <c r="Q107" s="71" t="str">
        <f t="shared" ref="Q107:Q116" si="32">IF(B107&lt;&gt;"",IF($B$12="Ductos con PIRALU",(ROUNDDOWN(1.3*(POWER(((B107)*(C107)),0.625)/POWER(((B107)+(C107)),0.25)),5)),IF($B$12="AA ductos con aislamiento interno",(ROUNDDOWN(1.3*(POWER(((B107-0.5)*(C107-0.5)),0.625)/POWER(((B107-0.5)+(C107-0.5)),0.25)),5)),(ROUNDDOWN(1.3*(POWER((B107*C107),0.625)/POWER((B107+C107),0.25)),5)))),"")</f>
        <v/>
      </c>
      <c r="R107" s="79">
        <f t="shared" si="30"/>
        <v>0</v>
      </c>
      <c r="S107" s="79">
        <f t="shared" si="30"/>
        <v>0</v>
      </c>
      <c r="T107" s="53" t="str">
        <f t="shared" si="17"/>
        <v/>
      </c>
      <c r="U107" s="6" t="str">
        <f t="shared" si="18"/>
        <v/>
      </c>
    </row>
    <row r="108" s="6" customFormat="1" outlineLevel="1">
      <c r="A108" s="2">
        <f t="shared" si="19"/>
        <v>85</v>
      </c>
      <c r="B108" s="77"/>
      <c r="C108" s="77"/>
      <c r="D108" s="77"/>
      <c r="E108" s="77"/>
      <c r="F108" s="77"/>
      <c r="G108" s="78" t="str">
        <f t="shared" si="20"/>
        <v/>
      </c>
      <c r="H108" s="69"/>
      <c r="I108" s="57">
        <f t="shared" si="21"/>
        <v>0</v>
      </c>
      <c r="J108" s="54">
        <f t="shared" si="22"/>
        <v>4.4299999999999997</v>
      </c>
      <c r="K108" s="58">
        <f t="shared" si="23"/>
        <v>0</v>
      </c>
      <c r="L108" s="59">
        <f t="shared" si="24"/>
        <v>0</v>
      </c>
      <c r="M108" s="60">
        <f t="shared" si="25"/>
        <v>0</v>
      </c>
      <c r="N108" s="60">
        <f t="shared" si="26"/>
        <v>0</v>
      </c>
      <c r="O108" s="60">
        <f t="shared" si="27"/>
        <v>0</v>
      </c>
      <c r="P108" s="60">
        <f t="shared" si="28"/>
        <v>0</v>
      </c>
      <c r="Q108" s="71" t="str">
        <f t="shared" si="32"/>
        <v/>
      </c>
      <c r="R108" s="79">
        <f t="shared" si="30"/>
        <v>0</v>
      </c>
      <c r="S108" s="79">
        <f t="shared" si="30"/>
        <v>0</v>
      </c>
      <c r="T108" s="53" t="str">
        <f t="shared" si="17"/>
        <v/>
      </c>
      <c r="U108" s="6" t="str">
        <f t="shared" si="18"/>
        <v/>
      </c>
    </row>
    <row r="109" s="6" customFormat="1" outlineLevel="1">
      <c r="A109" s="2">
        <f t="shared" si="19"/>
        <v>86</v>
      </c>
      <c r="B109" s="55"/>
      <c r="C109" s="55"/>
      <c r="D109" s="75"/>
      <c r="E109" s="75"/>
      <c r="F109" s="55"/>
      <c r="G109" s="76" t="str">
        <f t="shared" si="20"/>
        <v/>
      </c>
      <c r="H109" s="69"/>
      <c r="I109" s="57">
        <f t="shared" si="21"/>
        <v>0</v>
      </c>
      <c r="J109" s="54">
        <f t="shared" si="22"/>
        <v>4.4299999999999997</v>
      </c>
      <c r="K109" s="58">
        <f t="shared" si="23"/>
        <v>0</v>
      </c>
      <c r="L109" s="59">
        <f t="shared" si="24"/>
        <v>0</v>
      </c>
      <c r="M109" s="60">
        <f t="shared" si="25"/>
        <v>0</v>
      </c>
      <c r="N109" s="60">
        <f t="shared" si="26"/>
        <v>0</v>
      </c>
      <c r="O109" s="60">
        <f t="shared" si="27"/>
        <v>0</v>
      </c>
      <c r="P109" s="60">
        <f t="shared" si="28"/>
        <v>0</v>
      </c>
      <c r="Q109" s="71" t="str">
        <f t="shared" si="32"/>
        <v/>
      </c>
      <c r="R109" s="79">
        <f t="shared" si="30"/>
        <v>0</v>
      </c>
      <c r="S109" s="79">
        <f t="shared" si="30"/>
        <v>0</v>
      </c>
      <c r="T109" s="53" t="str">
        <f t="shared" si="17"/>
        <v/>
      </c>
      <c r="U109" s="6" t="str">
        <f t="shared" si="18"/>
        <v/>
      </c>
    </row>
    <row r="110" s="6" customFormat="1" outlineLevel="1">
      <c r="A110" s="2">
        <f t="shared" si="19"/>
        <v>87</v>
      </c>
      <c r="B110" s="77"/>
      <c r="C110" s="77"/>
      <c r="D110" s="77"/>
      <c r="E110" s="77"/>
      <c r="F110" s="77"/>
      <c r="G110" s="78" t="str">
        <f t="shared" si="20"/>
        <v/>
      </c>
      <c r="H110" s="69"/>
      <c r="I110" s="57">
        <f t="shared" si="21"/>
        <v>0</v>
      </c>
      <c r="J110" s="54">
        <f t="shared" si="22"/>
        <v>4.4299999999999997</v>
      </c>
      <c r="K110" s="58">
        <f t="shared" si="23"/>
        <v>0</v>
      </c>
      <c r="L110" s="59">
        <f t="shared" si="24"/>
        <v>0</v>
      </c>
      <c r="M110" s="60">
        <f t="shared" si="25"/>
        <v>0</v>
      </c>
      <c r="N110" s="60">
        <f t="shared" si="26"/>
        <v>0</v>
      </c>
      <c r="O110" s="60">
        <f t="shared" si="27"/>
        <v>0</v>
      </c>
      <c r="P110" s="60">
        <f t="shared" si="28"/>
        <v>0</v>
      </c>
      <c r="Q110" s="71" t="str">
        <f t="shared" si="32"/>
        <v/>
      </c>
      <c r="R110" s="79">
        <f t="shared" si="30"/>
        <v>0</v>
      </c>
      <c r="S110" s="79">
        <f t="shared" si="30"/>
        <v>0</v>
      </c>
      <c r="T110" s="53" t="str">
        <f t="shared" si="17"/>
        <v/>
      </c>
      <c r="U110" s="6" t="str">
        <f t="shared" si="18"/>
        <v/>
      </c>
    </row>
    <row r="111" s="6" customFormat="1" outlineLevel="1">
      <c r="A111" s="2">
        <f t="shared" si="19"/>
        <v>88</v>
      </c>
      <c r="B111" s="55"/>
      <c r="C111" s="55"/>
      <c r="D111" s="75"/>
      <c r="E111" s="75"/>
      <c r="F111" s="55"/>
      <c r="G111" s="76" t="str">
        <f t="shared" si="20"/>
        <v/>
      </c>
      <c r="H111" s="69"/>
      <c r="I111" s="57">
        <f t="shared" si="21"/>
        <v>0</v>
      </c>
      <c r="J111" s="54">
        <f t="shared" si="22"/>
        <v>4.4299999999999997</v>
      </c>
      <c r="K111" s="58">
        <f t="shared" si="23"/>
        <v>0</v>
      </c>
      <c r="L111" s="59">
        <f t="shared" si="24"/>
        <v>0</v>
      </c>
      <c r="M111" s="60">
        <f t="shared" si="25"/>
        <v>0</v>
      </c>
      <c r="N111" s="60">
        <f t="shared" si="26"/>
        <v>0</v>
      </c>
      <c r="O111" s="60">
        <f t="shared" si="27"/>
        <v>0</v>
      </c>
      <c r="P111" s="60">
        <f t="shared" si="28"/>
        <v>0</v>
      </c>
      <c r="Q111" s="71" t="str">
        <f t="shared" si="32"/>
        <v/>
      </c>
      <c r="R111" s="79">
        <f t="shared" si="30"/>
        <v>0</v>
      </c>
      <c r="S111" s="79">
        <f t="shared" si="30"/>
        <v>0</v>
      </c>
      <c r="T111" s="53" t="str">
        <f t="shared" si="17"/>
        <v/>
      </c>
      <c r="U111" s="6" t="str">
        <f t="shared" si="18"/>
        <v/>
      </c>
    </row>
    <row r="112" s="6" customFormat="1" outlineLevel="1">
      <c r="A112" s="2">
        <f t="shared" si="19"/>
        <v>89</v>
      </c>
      <c r="B112" s="77"/>
      <c r="C112" s="77"/>
      <c r="D112" s="77"/>
      <c r="E112" s="77"/>
      <c r="F112" s="77"/>
      <c r="G112" s="78" t="str">
        <f t="shared" si="20"/>
        <v/>
      </c>
      <c r="H112" s="69"/>
      <c r="I112" s="57">
        <f t="shared" si="21"/>
        <v>0</v>
      </c>
      <c r="J112" s="54">
        <f t="shared" si="22"/>
        <v>4.4299999999999997</v>
      </c>
      <c r="K112" s="58">
        <f t="shared" si="23"/>
        <v>0</v>
      </c>
      <c r="L112" s="59">
        <f t="shared" si="24"/>
        <v>0</v>
      </c>
      <c r="M112" s="60">
        <f t="shared" si="25"/>
        <v>0</v>
      </c>
      <c r="N112" s="60">
        <f t="shared" si="26"/>
        <v>0</v>
      </c>
      <c r="O112" s="60">
        <f t="shared" si="27"/>
        <v>0</v>
      </c>
      <c r="P112" s="60">
        <f t="shared" si="28"/>
        <v>0</v>
      </c>
      <c r="Q112" s="71" t="str">
        <f t="shared" si="32"/>
        <v/>
      </c>
      <c r="R112" s="79">
        <f t="shared" si="30"/>
        <v>0</v>
      </c>
      <c r="S112" s="79">
        <f t="shared" si="30"/>
        <v>0</v>
      </c>
      <c r="T112" s="53" t="str">
        <f t="shared" si="17"/>
        <v/>
      </c>
      <c r="U112" s="6" t="str">
        <f t="shared" si="18"/>
        <v/>
      </c>
    </row>
    <row r="113" s="6" customFormat="1" outlineLevel="1">
      <c r="A113" s="2">
        <f t="shared" si="19"/>
        <v>90</v>
      </c>
      <c r="B113" s="82"/>
      <c r="C113" s="75"/>
      <c r="D113" s="75"/>
      <c r="E113" s="55"/>
      <c r="F113" s="55"/>
      <c r="G113" s="76"/>
      <c r="H113" s="69"/>
      <c r="I113" s="57">
        <f t="shared" si="21"/>
        <v>0</v>
      </c>
      <c r="J113" s="54">
        <f t="shared" si="22"/>
        <v>4.4299999999999997</v>
      </c>
      <c r="K113" s="58">
        <f t="shared" si="23"/>
        <v>0</v>
      </c>
      <c r="L113" s="59">
        <f t="shared" si="24"/>
        <v>0</v>
      </c>
      <c r="M113" s="60">
        <f t="shared" si="25"/>
        <v>0</v>
      </c>
      <c r="N113" s="60">
        <f t="shared" si="26"/>
        <v>0</v>
      </c>
      <c r="O113" s="60">
        <f t="shared" si="27"/>
        <v>0</v>
      </c>
      <c r="P113" s="60">
        <f t="shared" si="28"/>
        <v>0</v>
      </c>
      <c r="Q113" s="71" t="str">
        <f t="shared" si="32"/>
        <v/>
      </c>
      <c r="R113" s="79">
        <f t="shared" si="30"/>
        <v>0</v>
      </c>
      <c r="S113" s="79">
        <f t="shared" si="30"/>
        <v>0</v>
      </c>
      <c r="T113" s="53" t="str">
        <f t="shared" si="17"/>
        <v/>
      </c>
      <c r="U113" s="6" t="str">
        <f t="shared" si="18"/>
        <v/>
      </c>
    </row>
    <row r="114" s="6" customFormat="1" outlineLevel="1">
      <c r="A114" s="2">
        <f t="shared" si="19"/>
        <v>91</v>
      </c>
      <c r="B114" s="77"/>
      <c r="C114" s="77"/>
      <c r="D114" s="77"/>
      <c r="E114" s="77"/>
      <c r="F114" s="77"/>
      <c r="G114" s="78"/>
      <c r="H114" s="69"/>
      <c r="I114" s="57">
        <f t="shared" si="21"/>
        <v>0</v>
      </c>
      <c r="J114" s="54">
        <f t="shared" si="22"/>
        <v>4.4299999999999997</v>
      </c>
      <c r="K114" s="58">
        <f t="shared" si="23"/>
        <v>0</v>
      </c>
      <c r="L114" s="59">
        <f t="shared" si="24"/>
        <v>0</v>
      </c>
      <c r="M114" s="60">
        <f t="shared" si="25"/>
        <v>0</v>
      </c>
      <c r="N114" s="60">
        <f t="shared" si="26"/>
        <v>0</v>
      </c>
      <c r="O114" s="60">
        <f t="shared" si="27"/>
        <v>0</v>
      </c>
      <c r="P114" s="60">
        <f t="shared" si="28"/>
        <v>0</v>
      </c>
      <c r="Q114" s="71" t="str">
        <f t="shared" si="32"/>
        <v/>
      </c>
      <c r="R114" s="79">
        <f t="shared" si="30"/>
        <v>0</v>
      </c>
      <c r="S114" s="79">
        <f t="shared" si="30"/>
        <v>0</v>
      </c>
      <c r="T114" s="53" t="str">
        <f t="shared" si="17"/>
        <v/>
      </c>
      <c r="U114" s="6" t="str">
        <f t="shared" si="18"/>
        <v/>
      </c>
    </row>
    <row r="115" s="6" customFormat="1" outlineLevel="1" collapsed="1">
      <c r="A115" s="2">
        <f t="shared" si="19"/>
        <v>92</v>
      </c>
      <c r="B115" s="82"/>
      <c r="C115" s="75"/>
      <c r="D115" s="75"/>
      <c r="E115" s="55"/>
      <c r="F115" s="55"/>
      <c r="G115" s="76"/>
      <c r="H115" s="69"/>
      <c r="I115" s="57">
        <f t="shared" si="21"/>
        <v>0</v>
      </c>
      <c r="J115" s="54">
        <f t="shared" si="22"/>
        <v>4.4299999999999997</v>
      </c>
      <c r="K115" s="58">
        <f t="shared" si="23"/>
        <v>0</v>
      </c>
      <c r="L115" s="59">
        <f t="shared" si="24"/>
        <v>0</v>
      </c>
      <c r="M115" s="60">
        <f t="shared" si="25"/>
        <v>0</v>
      </c>
      <c r="N115" s="60">
        <f t="shared" si="26"/>
        <v>0</v>
      </c>
      <c r="O115" s="60">
        <f t="shared" si="27"/>
        <v>0</v>
      </c>
      <c r="P115" s="60">
        <f t="shared" si="28"/>
        <v>0</v>
      </c>
      <c r="Q115" s="71" t="str">
        <f t="shared" si="32"/>
        <v/>
      </c>
      <c r="R115" s="79">
        <f t="shared" si="30"/>
        <v>0</v>
      </c>
      <c r="S115" s="79">
        <f t="shared" si="30"/>
        <v>0</v>
      </c>
      <c r="T115" s="53"/>
      <c r="U115" s="6" t="str">
        <f t="shared" si="18"/>
        <v/>
      </c>
    </row>
    <row r="116" s="53" customFormat="1" outlineLevel="1">
      <c r="A116" s="2">
        <f t="shared" si="19"/>
        <v>93</v>
      </c>
      <c r="B116" s="77"/>
      <c r="C116" s="77"/>
      <c r="D116" s="77"/>
      <c r="E116" s="77"/>
      <c r="F116" s="77"/>
      <c r="G116" s="78"/>
      <c r="H116" s="69"/>
      <c r="I116" s="57">
        <f t="shared" si="21"/>
        <v>0</v>
      </c>
      <c r="J116" s="54">
        <f t="shared" si="22"/>
        <v>4.4299999999999997</v>
      </c>
      <c r="K116" s="58">
        <f t="shared" si="23"/>
        <v>0</v>
      </c>
      <c r="L116" s="59">
        <f t="shared" si="24"/>
        <v>0</v>
      </c>
      <c r="M116" s="60">
        <f t="shared" si="25"/>
        <v>0</v>
      </c>
      <c r="N116" s="60">
        <f t="shared" si="26"/>
        <v>0</v>
      </c>
      <c r="O116" s="60">
        <f t="shared" si="27"/>
        <v>0</v>
      </c>
      <c r="P116" s="60">
        <f t="shared" si="28"/>
        <v>0</v>
      </c>
      <c r="Q116" s="71" t="str">
        <f t="shared" si="32"/>
        <v/>
      </c>
      <c r="R116" s="79">
        <f t="shared" si="30"/>
        <v>0</v>
      </c>
      <c r="S116" s="79">
        <f t="shared" si="30"/>
        <v>0</v>
      </c>
      <c r="T116" s="53" t="str">
        <f t="shared" si="17"/>
        <v/>
      </c>
      <c r="U116" s="6" t="str">
        <f t="shared" si="18"/>
        <v/>
      </c>
    </row>
    <row r="117" s="53" customFormat="1">
      <c r="A117" s="2">
        <f t="shared" si="19"/>
        <v>94</v>
      </c>
      <c r="B117" s="83" t="s">
        <v>46</v>
      </c>
      <c r="C117" s="62"/>
      <c r="D117" s="62"/>
      <c r="E117" s="63"/>
      <c r="F117" s="63"/>
      <c r="G117" s="64"/>
      <c r="H117" s="64"/>
      <c r="I117" s="63"/>
      <c r="J117" s="63"/>
      <c r="K117" s="65"/>
      <c r="L117" s="66"/>
      <c r="M117" s="67"/>
      <c r="N117" s="67"/>
      <c r="O117" s="67"/>
      <c r="P117" s="67"/>
      <c r="Q117" s="71"/>
      <c r="R117" s="79"/>
      <c r="S117" s="79"/>
      <c r="T117" s="53">
        <f t="shared" si="17"/>
        <v>0</v>
      </c>
      <c r="U117" s="6">
        <f t="shared" si="18"/>
        <v>0</v>
      </c>
    </row>
    <row r="118" s="6" customFormat="1" outlineLevel="1">
      <c r="A118" s="2">
        <f t="shared" si="19"/>
        <v>95</v>
      </c>
      <c r="B118" s="57"/>
      <c r="C118" s="57"/>
      <c r="D118" s="73"/>
      <c r="E118" s="73"/>
      <c r="F118" s="55"/>
      <c r="G118" s="69" t="str">
        <f t="shared" ref="G118:G141" si="33">IF(B118&lt;&gt;"",(ROUNDDOWN(E118/((POWER((Q118/12),2))*(3.1416/4)),2)),"")</f>
        <v/>
      </c>
      <c r="H118" s="69"/>
      <c r="I118" s="57">
        <f t="shared" ref="I118:I141" si="34">(B118+C118)*2*0.0254*D118</f>
        <v>0</v>
      </c>
      <c r="J118" s="54">
        <f t="shared" ref="J118:J141" si="35">IF(OR(B118&gt;32,C118&gt;32),IF(OR(B118&gt;54,C118&gt;54),IF(OR(B118&gt;84,C118&gt;84),8.1,6.88),5.65),4.43)</f>
        <v>4.4299999999999997</v>
      </c>
      <c r="K118" s="58">
        <f t="shared" ref="K118:K141" si="36">+IF(B118&gt;60,0,IF(C118&gt;60,0,I118*J118))</f>
        <v>0</v>
      </c>
      <c r="L118" s="59">
        <f t="shared" ref="L118:L141" si="37">+IF(B118&gt;60,I118*J118,IF(C118&gt;60,I118*J118,0))</f>
        <v>0</v>
      </c>
      <c r="M118" s="60">
        <f t="shared" ref="M118:M141" si="38">+IF(J118=4.43,+K118,0)</f>
        <v>0</v>
      </c>
      <c r="N118" s="60">
        <f t="shared" ref="N118:N141" si="39">+IF(J118=5.65,+K118,0)</f>
        <v>0</v>
      </c>
      <c r="O118" s="60">
        <f t="shared" ref="O118:O141" si="40">+IF(J118=6.88,IF(K118=0,+L118)+K118,0)</f>
        <v>0</v>
      </c>
      <c r="P118" s="60">
        <f t="shared" ref="P118:P141" si="41">+IF(J118=8.1,+L118,0)</f>
        <v>0</v>
      </c>
      <c r="Q118" s="71" t="str">
        <f t="shared" si="31"/>
        <v/>
      </c>
      <c r="R118" s="79">
        <f t="shared" ref="R118:S141" si="42">B118*0.0254</f>
        <v>0</v>
      </c>
      <c r="S118" s="79">
        <f t="shared" si="42"/>
        <v>0</v>
      </c>
      <c r="T118" s="53" t="str">
        <f t="shared" si="17"/>
        <v/>
      </c>
      <c r="U118" s="6" t="str">
        <f t="shared" si="18"/>
        <v/>
      </c>
    </row>
    <row r="119" s="6" customFormat="1" outlineLevel="1">
      <c r="A119" s="2">
        <f t="shared" si="19"/>
        <v>96</v>
      </c>
      <c r="B119" s="57"/>
      <c r="C119" s="57"/>
      <c r="D119" s="57"/>
      <c r="E119" s="57"/>
      <c r="F119" s="55"/>
      <c r="G119" s="69" t="str">
        <f t="shared" si="33"/>
        <v/>
      </c>
      <c r="H119" s="69"/>
      <c r="I119" s="57">
        <f t="shared" si="34"/>
        <v>0</v>
      </c>
      <c r="J119" s="54">
        <f t="shared" si="35"/>
        <v>4.4299999999999997</v>
      </c>
      <c r="K119" s="58">
        <f t="shared" si="36"/>
        <v>0</v>
      </c>
      <c r="L119" s="59">
        <f t="shared" si="37"/>
        <v>0</v>
      </c>
      <c r="M119" s="60">
        <f t="shared" si="38"/>
        <v>0</v>
      </c>
      <c r="N119" s="60">
        <f t="shared" si="39"/>
        <v>0</v>
      </c>
      <c r="O119" s="60">
        <f t="shared" si="40"/>
        <v>0</v>
      </c>
      <c r="P119" s="60">
        <f t="shared" si="41"/>
        <v>0</v>
      </c>
      <c r="Q119" s="71" t="str">
        <f t="shared" si="31"/>
        <v/>
      </c>
      <c r="R119" s="79">
        <f t="shared" si="42"/>
        <v>0</v>
      </c>
      <c r="S119" s="79">
        <f t="shared" si="42"/>
        <v>0</v>
      </c>
      <c r="T119" s="53" t="str">
        <f t="shared" si="17"/>
        <v/>
      </c>
      <c r="U119" s="6" t="str">
        <f t="shared" si="18"/>
        <v/>
      </c>
    </row>
    <row r="120" s="6" customFormat="1" outlineLevel="1">
      <c r="A120" s="2">
        <f t="shared" si="19"/>
        <v>97</v>
      </c>
      <c r="B120" s="57"/>
      <c r="C120" s="57"/>
      <c r="D120" s="73"/>
      <c r="E120" s="73"/>
      <c r="F120" s="55"/>
      <c r="G120" s="69" t="str">
        <f t="shared" si="33"/>
        <v/>
      </c>
      <c r="H120" s="69"/>
      <c r="I120" s="57">
        <f t="shared" si="34"/>
        <v>0</v>
      </c>
      <c r="J120" s="54">
        <f t="shared" si="35"/>
        <v>4.4299999999999997</v>
      </c>
      <c r="K120" s="58">
        <f t="shared" si="36"/>
        <v>0</v>
      </c>
      <c r="L120" s="59">
        <f t="shared" si="37"/>
        <v>0</v>
      </c>
      <c r="M120" s="60">
        <f t="shared" si="38"/>
        <v>0</v>
      </c>
      <c r="N120" s="60">
        <f t="shared" si="39"/>
        <v>0</v>
      </c>
      <c r="O120" s="60">
        <f t="shared" si="40"/>
        <v>0</v>
      </c>
      <c r="P120" s="60">
        <f t="shared" si="41"/>
        <v>0</v>
      </c>
      <c r="Q120" s="71" t="str">
        <f t="shared" si="31"/>
        <v/>
      </c>
      <c r="R120" s="79">
        <f t="shared" si="42"/>
        <v>0</v>
      </c>
      <c r="S120" s="79">
        <f t="shared" si="42"/>
        <v>0</v>
      </c>
      <c r="T120" s="53" t="str">
        <f t="shared" si="17"/>
        <v/>
      </c>
      <c r="U120" s="6" t="str">
        <f t="shared" si="18"/>
        <v/>
      </c>
    </row>
    <row r="121" s="6" customFormat="1" outlineLevel="1">
      <c r="A121" s="2">
        <f t="shared" si="19"/>
        <v>98</v>
      </c>
      <c r="B121" s="57"/>
      <c r="C121" s="57"/>
      <c r="D121" s="57"/>
      <c r="E121" s="57"/>
      <c r="F121" s="55"/>
      <c r="G121" s="69" t="str">
        <f t="shared" si="33"/>
        <v/>
      </c>
      <c r="H121" s="69"/>
      <c r="I121" s="57">
        <f t="shared" si="34"/>
        <v>0</v>
      </c>
      <c r="J121" s="54">
        <f t="shared" si="35"/>
        <v>4.4299999999999997</v>
      </c>
      <c r="K121" s="58">
        <f t="shared" si="36"/>
        <v>0</v>
      </c>
      <c r="L121" s="59">
        <f t="shared" si="37"/>
        <v>0</v>
      </c>
      <c r="M121" s="60">
        <f t="shared" si="38"/>
        <v>0</v>
      </c>
      <c r="N121" s="60">
        <f t="shared" si="39"/>
        <v>0</v>
      </c>
      <c r="O121" s="60">
        <f t="shared" si="40"/>
        <v>0</v>
      </c>
      <c r="P121" s="60">
        <f t="shared" si="41"/>
        <v>0</v>
      </c>
      <c r="Q121" s="71" t="str">
        <f t="shared" si="31"/>
        <v/>
      </c>
      <c r="R121" s="5">
        <f t="shared" si="42"/>
        <v>0</v>
      </c>
      <c r="S121" s="5">
        <f t="shared" si="42"/>
        <v>0</v>
      </c>
      <c r="T121" s="53" t="str">
        <f t="shared" si="17"/>
        <v/>
      </c>
      <c r="U121" s="6" t="str">
        <f t="shared" si="18"/>
        <v/>
      </c>
    </row>
    <row r="122" s="6" customFormat="1" outlineLevel="1">
      <c r="A122" s="2">
        <f t="shared" si="19"/>
        <v>99</v>
      </c>
      <c r="B122" s="57"/>
      <c r="C122" s="57"/>
      <c r="D122" s="73"/>
      <c r="E122" s="57"/>
      <c r="F122" s="55"/>
      <c r="G122" s="69" t="str">
        <f t="shared" si="33"/>
        <v/>
      </c>
      <c r="H122" s="69"/>
      <c r="I122" s="57">
        <f t="shared" si="34"/>
        <v>0</v>
      </c>
      <c r="J122" s="54">
        <f t="shared" si="35"/>
        <v>4.4299999999999997</v>
      </c>
      <c r="K122" s="58">
        <f t="shared" si="36"/>
        <v>0</v>
      </c>
      <c r="L122" s="59">
        <f t="shared" si="37"/>
        <v>0</v>
      </c>
      <c r="M122" s="60">
        <f t="shared" si="38"/>
        <v>0</v>
      </c>
      <c r="N122" s="60">
        <f t="shared" si="39"/>
        <v>0</v>
      </c>
      <c r="O122" s="60">
        <f t="shared" si="40"/>
        <v>0</v>
      </c>
      <c r="P122" s="60">
        <f t="shared" si="41"/>
        <v>0</v>
      </c>
      <c r="Q122" s="71" t="str">
        <f t="shared" si="31"/>
        <v/>
      </c>
      <c r="R122" s="5">
        <f t="shared" si="42"/>
        <v>0</v>
      </c>
      <c r="S122" s="5">
        <f t="shared" si="42"/>
        <v>0</v>
      </c>
      <c r="T122" s="53" t="str">
        <f t="shared" si="17"/>
        <v/>
      </c>
      <c r="U122" s="6" t="str">
        <f t="shared" si="18"/>
        <v/>
      </c>
    </row>
    <row r="123" s="6" customFormat="1" outlineLevel="1">
      <c r="A123" s="2">
        <f t="shared" si="19"/>
        <v>100</v>
      </c>
      <c r="B123" s="57"/>
      <c r="C123" s="57"/>
      <c r="D123" s="57"/>
      <c r="E123" s="57"/>
      <c r="F123" s="55"/>
      <c r="G123" s="69" t="str">
        <f t="shared" si="33"/>
        <v/>
      </c>
      <c r="H123" s="69"/>
      <c r="I123" s="57">
        <f t="shared" si="34"/>
        <v>0</v>
      </c>
      <c r="J123" s="54">
        <f t="shared" si="35"/>
        <v>4.4299999999999997</v>
      </c>
      <c r="K123" s="58">
        <f t="shared" si="36"/>
        <v>0</v>
      </c>
      <c r="L123" s="59">
        <f t="shared" si="37"/>
        <v>0</v>
      </c>
      <c r="M123" s="60">
        <f t="shared" si="38"/>
        <v>0</v>
      </c>
      <c r="N123" s="60">
        <f t="shared" si="39"/>
        <v>0</v>
      </c>
      <c r="O123" s="60">
        <f t="shared" si="40"/>
        <v>0</v>
      </c>
      <c r="P123" s="60">
        <f t="shared" si="41"/>
        <v>0</v>
      </c>
      <c r="Q123" s="71" t="str">
        <f t="shared" si="31"/>
        <v/>
      </c>
      <c r="R123" s="5">
        <f t="shared" si="42"/>
        <v>0</v>
      </c>
      <c r="S123" s="5">
        <f t="shared" si="42"/>
        <v>0</v>
      </c>
      <c r="T123" s="53" t="str">
        <f t="shared" si="17"/>
        <v/>
      </c>
      <c r="U123" s="6" t="str">
        <f t="shared" si="18"/>
        <v/>
      </c>
    </row>
    <row r="124" s="6" customFormat="1" outlineLevel="1">
      <c r="A124" s="2">
        <f t="shared" si="19"/>
        <v>101</v>
      </c>
      <c r="B124" s="57"/>
      <c r="C124" s="57"/>
      <c r="D124" s="57"/>
      <c r="E124" s="57"/>
      <c r="F124" s="55"/>
      <c r="G124" s="69" t="str">
        <f t="shared" si="33"/>
        <v/>
      </c>
      <c r="H124" s="69"/>
      <c r="I124" s="57">
        <f t="shared" si="34"/>
        <v>0</v>
      </c>
      <c r="J124" s="54">
        <f t="shared" si="35"/>
        <v>4.4299999999999997</v>
      </c>
      <c r="K124" s="58">
        <f t="shared" si="36"/>
        <v>0</v>
      </c>
      <c r="L124" s="59">
        <f t="shared" si="37"/>
        <v>0</v>
      </c>
      <c r="M124" s="60">
        <f t="shared" si="38"/>
        <v>0</v>
      </c>
      <c r="N124" s="60">
        <f t="shared" si="39"/>
        <v>0</v>
      </c>
      <c r="O124" s="60">
        <f t="shared" si="40"/>
        <v>0</v>
      </c>
      <c r="P124" s="60">
        <f t="shared" si="41"/>
        <v>0</v>
      </c>
      <c r="Q124" s="71" t="str">
        <f t="shared" si="31"/>
        <v/>
      </c>
      <c r="R124" s="5">
        <f t="shared" si="42"/>
        <v>0</v>
      </c>
      <c r="S124" s="5">
        <f t="shared" si="42"/>
        <v>0</v>
      </c>
      <c r="T124" s="53" t="str">
        <f t="shared" si="17"/>
        <v/>
      </c>
      <c r="U124" s="6" t="str">
        <f t="shared" si="18"/>
        <v/>
      </c>
    </row>
    <row r="125" s="6" customFormat="1" outlineLevel="1">
      <c r="A125" s="2">
        <f t="shared" si="19"/>
        <v>102</v>
      </c>
      <c r="B125" s="57"/>
      <c r="C125" s="57"/>
      <c r="D125" s="57"/>
      <c r="E125" s="57"/>
      <c r="F125" s="55"/>
      <c r="G125" s="69"/>
      <c r="H125" s="69"/>
      <c r="I125" s="57">
        <f t="shared" si="34"/>
        <v>0</v>
      </c>
      <c r="J125" s="54">
        <f t="shared" si="35"/>
        <v>4.4299999999999997</v>
      </c>
      <c r="K125" s="58">
        <f t="shared" si="36"/>
        <v>0</v>
      </c>
      <c r="L125" s="59">
        <f t="shared" si="37"/>
        <v>0</v>
      </c>
      <c r="M125" s="60">
        <f t="shared" si="38"/>
        <v>0</v>
      </c>
      <c r="N125" s="60">
        <f t="shared" si="39"/>
        <v>0</v>
      </c>
      <c r="O125" s="60">
        <f t="shared" si="40"/>
        <v>0</v>
      </c>
      <c r="P125" s="60">
        <f t="shared" si="41"/>
        <v>0</v>
      </c>
      <c r="Q125" s="71" t="str">
        <f t="shared" si="31"/>
        <v/>
      </c>
      <c r="R125" s="5">
        <f t="shared" si="42"/>
        <v>0</v>
      </c>
      <c r="S125" s="5">
        <f t="shared" si="42"/>
        <v>0</v>
      </c>
      <c r="T125" s="53" t="str">
        <f t="shared" si="17"/>
        <v/>
      </c>
      <c r="U125" s="6" t="str">
        <f t="shared" si="18"/>
        <v/>
      </c>
    </row>
    <row r="126" s="6" customFormat="1" outlineLevel="1">
      <c r="A126" s="2">
        <f t="shared" si="19"/>
        <v>103</v>
      </c>
      <c r="B126" s="57"/>
      <c r="C126" s="57"/>
      <c r="D126" s="57"/>
      <c r="E126" s="57"/>
      <c r="F126" s="55"/>
      <c r="G126" s="69" t="str">
        <f t="shared" si="33"/>
        <v/>
      </c>
      <c r="H126" s="69"/>
      <c r="I126" s="57">
        <f t="shared" si="34"/>
        <v>0</v>
      </c>
      <c r="J126" s="54">
        <f t="shared" si="35"/>
        <v>4.4299999999999997</v>
      </c>
      <c r="K126" s="58">
        <f t="shared" si="36"/>
        <v>0</v>
      </c>
      <c r="L126" s="59">
        <f t="shared" si="37"/>
        <v>0</v>
      </c>
      <c r="M126" s="60">
        <f t="shared" si="38"/>
        <v>0</v>
      </c>
      <c r="N126" s="60">
        <f t="shared" si="39"/>
        <v>0</v>
      </c>
      <c r="O126" s="60">
        <f t="shared" si="40"/>
        <v>0</v>
      </c>
      <c r="P126" s="60">
        <f t="shared" si="41"/>
        <v>0</v>
      </c>
      <c r="Q126" s="71" t="str">
        <f t="shared" si="31"/>
        <v/>
      </c>
      <c r="R126" s="5">
        <f t="shared" si="42"/>
        <v>0</v>
      </c>
      <c r="S126" s="5">
        <f t="shared" si="42"/>
        <v>0</v>
      </c>
      <c r="T126" s="53" t="str">
        <f t="shared" si="17"/>
        <v/>
      </c>
      <c r="U126" s="6" t="str">
        <f t="shared" si="18"/>
        <v/>
      </c>
    </row>
    <row r="127" s="6" customFormat="1" outlineLevel="1">
      <c r="A127" s="2">
        <f t="shared" si="19"/>
        <v>104</v>
      </c>
      <c r="B127" s="57"/>
      <c r="C127" s="57"/>
      <c r="D127" s="57"/>
      <c r="E127" s="57"/>
      <c r="F127" s="55"/>
      <c r="G127" s="69" t="str">
        <f t="shared" si="33"/>
        <v/>
      </c>
      <c r="H127" s="69"/>
      <c r="I127" s="57">
        <f t="shared" si="34"/>
        <v>0</v>
      </c>
      <c r="J127" s="54">
        <f t="shared" si="35"/>
        <v>4.4299999999999997</v>
      </c>
      <c r="K127" s="58">
        <f t="shared" si="36"/>
        <v>0</v>
      </c>
      <c r="L127" s="59">
        <f t="shared" si="37"/>
        <v>0</v>
      </c>
      <c r="M127" s="60">
        <f t="shared" si="38"/>
        <v>0</v>
      </c>
      <c r="N127" s="60">
        <f t="shared" si="39"/>
        <v>0</v>
      </c>
      <c r="O127" s="60">
        <f t="shared" si="40"/>
        <v>0</v>
      </c>
      <c r="P127" s="60">
        <f t="shared" si="41"/>
        <v>0</v>
      </c>
      <c r="Q127" s="71" t="str">
        <f t="shared" si="31"/>
        <v/>
      </c>
      <c r="R127" s="5">
        <f t="shared" si="42"/>
        <v>0</v>
      </c>
      <c r="S127" s="5">
        <f t="shared" si="42"/>
        <v>0</v>
      </c>
      <c r="T127" s="53" t="str">
        <f t="shared" si="17"/>
        <v/>
      </c>
      <c r="U127" s="6" t="str">
        <f t="shared" si="18"/>
        <v/>
      </c>
    </row>
    <row r="128" s="6" customFormat="1" outlineLevel="1">
      <c r="A128" s="2">
        <f t="shared" si="19"/>
        <v>105</v>
      </c>
      <c r="B128" s="57"/>
      <c r="C128" s="57"/>
      <c r="D128" s="57"/>
      <c r="E128" s="57"/>
      <c r="F128" s="55"/>
      <c r="G128" s="69" t="str">
        <f t="shared" si="33"/>
        <v/>
      </c>
      <c r="H128" s="69"/>
      <c r="I128" s="57">
        <f t="shared" si="34"/>
        <v>0</v>
      </c>
      <c r="J128" s="54">
        <f t="shared" si="35"/>
        <v>4.4299999999999997</v>
      </c>
      <c r="K128" s="58">
        <f t="shared" si="36"/>
        <v>0</v>
      </c>
      <c r="L128" s="59">
        <f t="shared" si="37"/>
        <v>0</v>
      </c>
      <c r="M128" s="60">
        <f t="shared" si="38"/>
        <v>0</v>
      </c>
      <c r="N128" s="60">
        <f t="shared" si="39"/>
        <v>0</v>
      </c>
      <c r="O128" s="60">
        <f t="shared" si="40"/>
        <v>0</v>
      </c>
      <c r="P128" s="60">
        <f t="shared" si="41"/>
        <v>0</v>
      </c>
      <c r="Q128" s="71" t="str">
        <f t="shared" si="31"/>
        <v/>
      </c>
      <c r="R128" s="5">
        <f t="shared" si="42"/>
        <v>0</v>
      </c>
      <c r="S128" s="5">
        <f t="shared" si="42"/>
        <v>0</v>
      </c>
      <c r="T128" s="53" t="str">
        <f t="shared" si="17"/>
        <v/>
      </c>
      <c r="U128" s="6" t="str">
        <f t="shared" si="18"/>
        <v/>
      </c>
    </row>
    <row r="129" s="6" customFormat="1" outlineLevel="1">
      <c r="A129" s="2">
        <f t="shared" si="19"/>
        <v>106</v>
      </c>
      <c r="B129" s="57"/>
      <c r="C129" s="57"/>
      <c r="D129" s="57"/>
      <c r="E129" s="57"/>
      <c r="F129" s="55"/>
      <c r="G129" s="69" t="str">
        <f t="shared" si="33"/>
        <v/>
      </c>
      <c r="H129" s="69"/>
      <c r="I129" s="57">
        <f t="shared" si="34"/>
        <v>0</v>
      </c>
      <c r="J129" s="54">
        <f t="shared" si="35"/>
        <v>4.4299999999999997</v>
      </c>
      <c r="K129" s="58">
        <f t="shared" si="36"/>
        <v>0</v>
      </c>
      <c r="L129" s="59">
        <f t="shared" si="37"/>
        <v>0</v>
      </c>
      <c r="M129" s="60">
        <f t="shared" si="38"/>
        <v>0</v>
      </c>
      <c r="N129" s="60">
        <f t="shared" si="39"/>
        <v>0</v>
      </c>
      <c r="O129" s="60">
        <f t="shared" si="40"/>
        <v>0</v>
      </c>
      <c r="P129" s="60">
        <f t="shared" si="41"/>
        <v>0</v>
      </c>
      <c r="Q129" s="71" t="str">
        <f t="shared" si="31"/>
        <v/>
      </c>
      <c r="R129" s="5">
        <f t="shared" si="42"/>
        <v>0</v>
      </c>
      <c r="S129" s="5">
        <f t="shared" si="42"/>
        <v>0</v>
      </c>
      <c r="T129" s="53" t="str">
        <f t="shared" si="17"/>
        <v/>
      </c>
      <c r="U129" s="6" t="str">
        <f t="shared" si="18"/>
        <v/>
      </c>
    </row>
    <row r="130" s="6" customFormat="1" outlineLevel="1">
      <c r="A130" s="2">
        <f t="shared" si="19"/>
        <v>107</v>
      </c>
      <c r="B130" s="57"/>
      <c r="C130" s="57"/>
      <c r="D130" s="57"/>
      <c r="E130" s="57"/>
      <c r="F130" s="55"/>
      <c r="G130" s="69" t="str">
        <f t="shared" si="33"/>
        <v/>
      </c>
      <c r="H130" s="69"/>
      <c r="I130" s="57">
        <f t="shared" si="34"/>
        <v>0</v>
      </c>
      <c r="J130" s="54">
        <f t="shared" si="35"/>
        <v>4.4299999999999997</v>
      </c>
      <c r="K130" s="58">
        <f t="shared" si="36"/>
        <v>0</v>
      </c>
      <c r="L130" s="59">
        <f t="shared" si="37"/>
        <v>0</v>
      </c>
      <c r="M130" s="60">
        <f t="shared" si="38"/>
        <v>0</v>
      </c>
      <c r="N130" s="60">
        <f t="shared" si="39"/>
        <v>0</v>
      </c>
      <c r="O130" s="60">
        <f t="shared" si="40"/>
        <v>0</v>
      </c>
      <c r="P130" s="60">
        <f t="shared" si="41"/>
        <v>0</v>
      </c>
      <c r="Q130" s="71" t="str">
        <f t="shared" si="31"/>
        <v/>
      </c>
      <c r="R130" s="5">
        <f t="shared" si="42"/>
        <v>0</v>
      </c>
      <c r="S130" s="5">
        <f t="shared" si="42"/>
        <v>0</v>
      </c>
      <c r="T130" s="53" t="str">
        <f t="shared" si="17"/>
        <v/>
      </c>
      <c r="U130" s="6" t="str">
        <f t="shared" si="18"/>
        <v/>
      </c>
    </row>
    <row r="131" s="6" customFormat="1" outlineLevel="1">
      <c r="A131" s="2">
        <f t="shared" si="19"/>
        <v>108</v>
      </c>
      <c r="B131" s="57"/>
      <c r="C131" s="57"/>
      <c r="D131" s="57"/>
      <c r="E131" s="57"/>
      <c r="F131" s="55"/>
      <c r="G131" s="69" t="str">
        <f t="shared" si="33"/>
        <v/>
      </c>
      <c r="H131" s="69"/>
      <c r="I131" s="57">
        <f t="shared" si="34"/>
        <v>0</v>
      </c>
      <c r="J131" s="54">
        <f t="shared" si="35"/>
        <v>4.4299999999999997</v>
      </c>
      <c r="K131" s="58">
        <f t="shared" si="36"/>
        <v>0</v>
      </c>
      <c r="L131" s="59">
        <f t="shared" si="37"/>
        <v>0</v>
      </c>
      <c r="M131" s="60">
        <f t="shared" si="38"/>
        <v>0</v>
      </c>
      <c r="N131" s="60">
        <f t="shared" si="39"/>
        <v>0</v>
      </c>
      <c r="O131" s="60">
        <f t="shared" si="40"/>
        <v>0</v>
      </c>
      <c r="P131" s="60">
        <f t="shared" si="41"/>
        <v>0</v>
      </c>
      <c r="Q131" s="71" t="str">
        <f t="shared" si="31"/>
        <v/>
      </c>
      <c r="R131" s="5">
        <f t="shared" si="42"/>
        <v>0</v>
      </c>
      <c r="S131" s="5">
        <f t="shared" si="42"/>
        <v>0</v>
      </c>
      <c r="T131" s="53" t="str">
        <f t="shared" si="17"/>
        <v/>
      </c>
      <c r="U131" s="6" t="str">
        <f t="shared" si="18"/>
        <v/>
      </c>
    </row>
    <row r="132" s="6" customFormat="1" outlineLevel="1">
      <c r="A132" s="2">
        <f t="shared" si="19"/>
        <v>109</v>
      </c>
      <c r="B132" s="55"/>
      <c r="C132" s="55"/>
      <c r="D132" s="75"/>
      <c r="E132" s="55"/>
      <c r="F132" s="55"/>
      <c r="G132" s="76" t="str">
        <f t="shared" si="33"/>
        <v/>
      </c>
      <c r="H132" s="69"/>
      <c r="I132" s="57">
        <f t="shared" si="34"/>
        <v>0</v>
      </c>
      <c r="J132" s="54">
        <f t="shared" si="35"/>
        <v>4.4299999999999997</v>
      </c>
      <c r="K132" s="58">
        <f t="shared" si="36"/>
        <v>0</v>
      </c>
      <c r="L132" s="59">
        <f t="shared" si="37"/>
        <v>0</v>
      </c>
      <c r="M132" s="60">
        <f t="shared" si="38"/>
        <v>0</v>
      </c>
      <c r="N132" s="60">
        <f t="shared" si="39"/>
        <v>0</v>
      </c>
      <c r="O132" s="60">
        <f t="shared" si="40"/>
        <v>0</v>
      </c>
      <c r="P132" s="60">
        <f t="shared" si="41"/>
        <v>0</v>
      </c>
      <c r="Q132" s="71" t="str">
        <f t="shared" ref="Q132:Q141" si="43">IF(B132&lt;&gt;"",IF($B$12="Ductos con PIRALU",(ROUNDDOWN(1.3*(POWER(((B132)*(C132)),0.625)/POWER(((B132)+(C132)),0.25)),5)),IF($B$12="AA ductos con aislamiento interno",(ROUNDDOWN(1.3*(POWER(((B132-0.5)*(C132-0.5)),0.625)/POWER(((B132-0.5)+(C132-0.5)),0.25)),5)),(ROUNDDOWN(1.3*(POWER((B132*C132),0.625)/POWER((B132+C132),0.25)),5)))),"")</f>
        <v/>
      </c>
      <c r="R132" s="5">
        <f t="shared" si="42"/>
        <v>0</v>
      </c>
      <c r="S132" s="5">
        <f t="shared" si="42"/>
        <v>0</v>
      </c>
      <c r="T132" s="53" t="str">
        <f t="shared" si="17"/>
        <v/>
      </c>
      <c r="U132" s="6" t="str">
        <f t="shared" si="18"/>
        <v/>
      </c>
    </row>
    <row r="133" s="6" customFormat="1" outlineLevel="1">
      <c r="A133" s="2">
        <f t="shared" si="19"/>
        <v>110</v>
      </c>
      <c r="B133" s="77"/>
      <c r="C133" s="77"/>
      <c r="D133" s="77"/>
      <c r="E133" s="77"/>
      <c r="F133" s="77"/>
      <c r="G133" s="78" t="str">
        <f t="shared" si="33"/>
        <v/>
      </c>
      <c r="H133" s="69"/>
      <c r="I133" s="57">
        <f t="shared" si="34"/>
        <v>0</v>
      </c>
      <c r="J133" s="54">
        <f t="shared" si="35"/>
        <v>4.4299999999999997</v>
      </c>
      <c r="K133" s="58">
        <f t="shared" si="36"/>
        <v>0</v>
      </c>
      <c r="L133" s="59">
        <f t="shared" si="37"/>
        <v>0</v>
      </c>
      <c r="M133" s="60">
        <f t="shared" si="38"/>
        <v>0</v>
      </c>
      <c r="N133" s="60">
        <f t="shared" si="39"/>
        <v>0</v>
      </c>
      <c r="O133" s="60">
        <f t="shared" si="40"/>
        <v>0</v>
      </c>
      <c r="P133" s="60">
        <f t="shared" si="41"/>
        <v>0</v>
      </c>
      <c r="Q133" s="71" t="str">
        <f t="shared" si="43"/>
        <v/>
      </c>
      <c r="R133" s="5">
        <f t="shared" si="42"/>
        <v>0</v>
      </c>
      <c r="S133" s="5">
        <f t="shared" si="42"/>
        <v>0</v>
      </c>
      <c r="T133" s="53" t="str">
        <f t="shared" si="17"/>
        <v/>
      </c>
      <c r="U133" s="6" t="str">
        <f t="shared" si="18"/>
        <v/>
      </c>
    </row>
    <row r="134" s="6" customFormat="1" outlineLevel="1">
      <c r="A134" s="2">
        <f t="shared" si="19"/>
        <v>111</v>
      </c>
      <c r="B134" s="55"/>
      <c r="C134" s="55"/>
      <c r="D134" s="75"/>
      <c r="E134" s="55"/>
      <c r="F134" s="55"/>
      <c r="G134" s="76" t="str">
        <f t="shared" si="33"/>
        <v/>
      </c>
      <c r="H134" s="69"/>
      <c r="I134" s="57">
        <f t="shared" si="34"/>
        <v>0</v>
      </c>
      <c r="J134" s="54">
        <f t="shared" si="35"/>
        <v>4.4299999999999997</v>
      </c>
      <c r="K134" s="58">
        <f t="shared" si="36"/>
        <v>0</v>
      </c>
      <c r="L134" s="59">
        <f t="shared" si="37"/>
        <v>0</v>
      </c>
      <c r="M134" s="60">
        <f t="shared" si="38"/>
        <v>0</v>
      </c>
      <c r="N134" s="60">
        <f t="shared" si="39"/>
        <v>0</v>
      </c>
      <c r="O134" s="60">
        <f t="shared" si="40"/>
        <v>0</v>
      </c>
      <c r="P134" s="60">
        <f t="shared" si="41"/>
        <v>0</v>
      </c>
      <c r="Q134" s="71" t="str">
        <f t="shared" si="43"/>
        <v/>
      </c>
      <c r="R134" s="5">
        <f t="shared" si="42"/>
        <v>0</v>
      </c>
      <c r="S134" s="5">
        <f t="shared" si="42"/>
        <v>0</v>
      </c>
      <c r="T134" s="53" t="str">
        <f t="shared" si="17"/>
        <v/>
      </c>
      <c r="U134" s="6" t="str">
        <f t="shared" si="18"/>
        <v/>
      </c>
    </row>
    <row r="135" s="6" customFormat="1" outlineLevel="1">
      <c r="A135" s="2">
        <f t="shared" si="19"/>
        <v>112</v>
      </c>
      <c r="B135" s="77"/>
      <c r="C135" s="77"/>
      <c r="D135" s="77"/>
      <c r="E135" s="77"/>
      <c r="F135" s="77"/>
      <c r="G135" s="78" t="str">
        <f t="shared" si="33"/>
        <v/>
      </c>
      <c r="H135" s="69"/>
      <c r="I135" s="57">
        <f t="shared" si="34"/>
        <v>0</v>
      </c>
      <c r="J135" s="54">
        <f t="shared" si="35"/>
        <v>4.4299999999999997</v>
      </c>
      <c r="K135" s="58">
        <f t="shared" si="36"/>
        <v>0</v>
      </c>
      <c r="L135" s="59">
        <f t="shared" si="37"/>
        <v>0</v>
      </c>
      <c r="M135" s="60">
        <f t="shared" si="38"/>
        <v>0</v>
      </c>
      <c r="N135" s="60">
        <f t="shared" si="39"/>
        <v>0</v>
      </c>
      <c r="O135" s="60">
        <f t="shared" si="40"/>
        <v>0</v>
      </c>
      <c r="P135" s="60">
        <f t="shared" si="41"/>
        <v>0</v>
      </c>
      <c r="Q135" s="71" t="str">
        <f t="shared" si="43"/>
        <v/>
      </c>
      <c r="R135" s="5">
        <f t="shared" si="42"/>
        <v>0</v>
      </c>
      <c r="S135" s="5">
        <f t="shared" si="42"/>
        <v>0</v>
      </c>
      <c r="T135" s="53" t="str">
        <f t="shared" si="17"/>
        <v/>
      </c>
      <c r="U135" s="6" t="str">
        <f t="shared" si="18"/>
        <v/>
      </c>
    </row>
    <row r="136" s="6" customFormat="1" outlineLevel="1">
      <c r="A136" s="2">
        <f t="shared" si="19"/>
        <v>113</v>
      </c>
      <c r="B136" s="55"/>
      <c r="C136" s="55"/>
      <c r="D136" s="75"/>
      <c r="E136" s="55"/>
      <c r="F136" s="55"/>
      <c r="G136" s="76" t="str">
        <f t="shared" si="33"/>
        <v/>
      </c>
      <c r="H136" s="69"/>
      <c r="I136" s="57">
        <f t="shared" si="34"/>
        <v>0</v>
      </c>
      <c r="J136" s="54">
        <f t="shared" si="35"/>
        <v>4.4299999999999997</v>
      </c>
      <c r="K136" s="58">
        <f t="shared" si="36"/>
        <v>0</v>
      </c>
      <c r="L136" s="59">
        <f t="shared" si="37"/>
        <v>0</v>
      </c>
      <c r="M136" s="60">
        <f t="shared" si="38"/>
        <v>0</v>
      </c>
      <c r="N136" s="60">
        <f t="shared" si="39"/>
        <v>0</v>
      </c>
      <c r="O136" s="60">
        <f t="shared" si="40"/>
        <v>0</v>
      </c>
      <c r="P136" s="60">
        <f t="shared" si="41"/>
        <v>0</v>
      </c>
      <c r="Q136" s="71" t="str">
        <f t="shared" si="43"/>
        <v/>
      </c>
      <c r="R136" s="5">
        <f t="shared" si="42"/>
        <v>0</v>
      </c>
      <c r="S136" s="5">
        <f t="shared" si="42"/>
        <v>0</v>
      </c>
      <c r="T136" s="53" t="str">
        <f t="shared" si="17"/>
        <v/>
      </c>
      <c r="U136" s="6" t="str">
        <f t="shared" si="18"/>
        <v/>
      </c>
    </row>
    <row r="137" s="6" customFormat="1" outlineLevel="1">
      <c r="A137" s="2">
        <f t="shared" si="19"/>
        <v>114</v>
      </c>
      <c r="B137" s="77"/>
      <c r="C137" s="77"/>
      <c r="D137" s="77"/>
      <c r="E137" s="77"/>
      <c r="F137" s="77"/>
      <c r="G137" s="78" t="str">
        <f t="shared" si="33"/>
        <v/>
      </c>
      <c r="H137" s="69"/>
      <c r="I137" s="57">
        <f t="shared" si="34"/>
        <v>0</v>
      </c>
      <c r="J137" s="54">
        <f t="shared" si="35"/>
        <v>4.4299999999999997</v>
      </c>
      <c r="K137" s="58">
        <f t="shared" si="36"/>
        <v>0</v>
      </c>
      <c r="L137" s="59">
        <f t="shared" si="37"/>
        <v>0</v>
      </c>
      <c r="M137" s="60">
        <f t="shared" si="38"/>
        <v>0</v>
      </c>
      <c r="N137" s="60">
        <f t="shared" si="39"/>
        <v>0</v>
      </c>
      <c r="O137" s="60">
        <f t="shared" si="40"/>
        <v>0</v>
      </c>
      <c r="P137" s="60">
        <f t="shared" si="41"/>
        <v>0</v>
      </c>
      <c r="Q137" s="71" t="str">
        <f t="shared" si="43"/>
        <v/>
      </c>
      <c r="R137" s="5">
        <f t="shared" si="42"/>
        <v>0</v>
      </c>
      <c r="S137" s="5">
        <f t="shared" si="42"/>
        <v>0</v>
      </c>
      <c r="T137" s="53" t="str">
        <f t="shared" si="17"/>
        <v/>
      </c>
      <c r="U137" s="6" t="str">
        <f t="shared" si="18"/>
        <v/>
      </c>
    </row>
    <row r="138" s="6" customFormat="1" outlineLevel="1">
      <c r="A138" s="2">
        <f t="shared" si="19"/>
        <v>115</v>
      </c>
      <c r="B138" s="55"/>
      <c r="C138" s="55"/>
      <c r="D138" s="75"/>
      <c r="E138" s="55"/>
      <c r="F138" s="55"/>
      <c r="G138" s="76" t="str">
        <f t="shared" si="33"/>
        <v/>
      </c>
      <c r="H138" s="69"/>
      <c r="I138" s="57">
        <f t="shared" si="34"/>
        <v>0</v>
      </c>
      <c r="J138" s="54">
        <f t="shared" si="35"/>
        <v>4.4299999999999997</v>
      </c>
      <c r="K138" s="58">
        <f t="shared" si="36"/>
        <v>0</v>
      </c>
      <c r="L138" s="59">
        <f t="shared" si="37"/>
        <v>0</v>
      </c>
      <c r="M138" s="60">
        <f t="shared" si="38"/>
        <v>0</v>
      </c>
      <c r="N138" s="60">
        <f t="shared" si="39"/>
        <v>0</v>
      </c>
      <c r="O138" s="60">
        <f t="shared" si="40"/>
        <v>0</v>
      </c>
      <c r="P138" s="60">
        <f t="shared" si="41"/>
        <v>0</v>
      </c>
      <c r="Q138" s="71" t="str">
        <f t="shared" si="43"/>
        <v/>
      </c>
      <c r="R138" s="5">
        <f t="shared" si="42"/>
        <v>0</v>
      </c>
      <c r="S138" s="5">
        <f t="shared" si="42"/>
        <v>0</v>
      </c>
      <c r="T138" s="53" t="str">
        <f t="shared" si="17"/>
        <v/>
      </c>
      <c r="U138" s="6" t="str">
        <f t="shared" si="18"/>
        <v/>
      </c>
    </row>
    <row r="139" s="6" customFormat="1" outlineLevel="1">
      <c r="A139" s="2">
        <f t="shared" si="19"/>
        <v>116</v>
      </c>
      <c r="B139" s="77"/>
      <c r="C139" s="77"/>
      <c r="D139" s="77"/>
      <c r="E139" s="77"/>
      <c r="F139" s="77"/>
      <c r="G139" s="78" t="str">
        <f t="shared" si="33"/>
        <v/>
      </c>
      <c r="H139" s="69"/>
      <c r="I139" s="57">
        <f t="shared" si="34"/>
        <v>0</v>
      </c>
      <c r="J139" s="54">
        <f t="shared" si="35"/>
        <v>4.4299999999999997</v>
      </c>
      <c r="K139" s="58">
        <f t="shared" si="36"/>
        <v>0</v>
      </c>
      <c r="L139" s="59">
        <f t="shared" si="37"/>
        <v>0</v>
      </c>
      <c r="M139" s="60">
        <f t="shared" si="38"/>
        <v>0</v>
      </c>
      <c r="N139" s="60">
        <f t="shared" si="39"/>
        <v>0</v>
      </c>
      <c r="O139" s="60">
        <f t="shared" si="40"/>
        <v>0</v>
      </c>
      <c r="P139" s="60">
        <f t="shared" si="41"/>
        <v>0</v>
      </c>
      <c r="Q139" s="71" t="str">
        <f t="shared" si="43"/>
        <v/>
      </c>
      <c r="R139" s="5">
        <f t="shared" si="42"/>
        <v>0</v>
      </c>
      <c r="S139" s="5">
        <f t="shared" si="42"/>
        <v>0</v>
      </c>
      <c r="T139" s="53" t="str">
        <f t="shared" si="17"/>
        <v/>
      </c>
      <c r="U139" s="6" t="str">
        <f t="shared" si="18"/>
        <v/>
      </c>
    </row>
    <row r="140" s="6" customFormat="1" outlineLevel="1">
      <c r="A140" s="2">
        <f t="shared" si="19"/>
        <v>117</v>
      </c>
      <c r="B140" s="55"/>
      <c r="C140" s="55"/>
      <c r="D140" s="75"/>
      <c r="E140" s="55"/>
      <c r="F140" s="55"/>
      <c r="G140" s="76" t="str">
        <f t="shared" si="33"/>
        <v/>
      </c>
      <c r="H140" s="69"/>
      <c r="I140" s="57">
        <f t="shared" si="34"/>
        <v>0</v>
      </c>
      <c r="J140" s="54">
        <f t="shared" si="35"/>
        <v>4.4299999999999997</v>
      </c>
      <c r="K140" s="58">
        <f t="shared" si="36"/>
        <v>0</v>
      </c>
      <c r="L140" s="59">
        <f t="shared" si="37"/>
        <v>0</v>
      </c>
      <c r="M140" s="60">
        <f t="shared" si="38"/>
        <v>0</v>
      </c>
      <c r="N140" s="60">
        <f t="shared" si="39"/>
        <v>0</v>
      </c>
      <c r="O140" s="60">
        <f t="shared" si="40"/>
        <v>0</v>
      </c>
      <c r="P140" s="60">
        <f t="shared" si="41"/>
        <v>0</v>
      </c>
      <c r="Q140" s="71" t="str">
        <f t="shared" si="43"/>
        <v/>
      </c>
      <c r="R140" s="5">
        <f t="shared" si="42"/>
        <v>0</v>
      </c>
      <c r="S140" s="5">
        <f t="shared" si="42"/>
        <v>0</v>
      </c>
      <c r="T140" s="53" t="str">
        <f t="shared" si="17"/>
        <v/>
      </c>
      <c r="U140" s="6" t="str">
        <f t="shared" si="18"/>
        <v/>
      </c>
    </row>
    <row r="141" s="6" customFormat="1" outlineLevel="1" collapsed="1">
      <c r="A141" s="2">
        <f t="shared" si="19"/>
        <v>118</v>
      </c>
      <c r="B141" s="77"/>
      <c r="C141" s="77"/>
      <c r="D141" s="77"/>
      <c r="E141" s="77"/>
      <c r="F141" s="77"/>
      <c r="G141" s="78" t="str">
        <f t="shared" si="33"/>
        <v/>
      </c>
      <c r="H141" s="69"/>
      <c r="I141" s="57">
        <f t="shared" si="34"/>
        <v>0</v>
      </c>
      <c r="J141" s="54">
        <f t="shared" si="35"/>
        <v>4.4299999999999997</v>
      </c>
      <c r="K141" s="58">
        <f t="shared" si="36"/>
        <v>0</v>
      </c>
      <c r="L141" s="59">
        <f t="shared" si="37"/>
        <v>0</v>
      </c>
      <c r="M141" s="60">
        <f t="shared" si="38"/>
        <v>0</v>
      </c>
      <c r="N141" s="60">
        <f t="shared" si="39"/>
        <v>0</v>
      </c>
      <c r="O141" s="60">
        <f t="shared" si="40"/>
        <v>0</v>
      </c>
      <c r="P141" s="60">
        <f t="shared" si="41"/>
        <v>0</v>
      </c>
      <c r="Q141" s="71" t="str">
        <f t="shared" si="43"/>
        <v/>
      </c>
      <c r="R141" s="5">
        <f t="shared" si="42"/>
        <v>0</v>
      </c>
      <c r="S141" s="5">
        <f t="shared" si="42"/>
        <v>0</v>
      </c>
      <c r="T141" s="53" t="str">
        <f t="shared" si="17"/>
        <v/>
      </c>
      <c r="U141" s="6" t="str">
        <f t="shared" si="18"/>
        <v/>
      </c>
    </row>
    <row r="142" s="6" customFormat="1" ht="16.5" customHeight="1">
      <c r="A142" s="2">
        <f t="shared" si="19"/>
        <v>119</v>
      </c>
      <c r="B142" s="83"/>
      <c r="C142" s="62"/>
      <c r="D142" s="62"/>
      <c r="E142" s="63"/>
      <c r="F142" s="63"/>
      <c r="G142" s="64"/>
      <c r="H142" s="64"/>
      <c r="I142" s="63"/>
      <c r="J142" s="63"/>
      <c r="K142" s="65"/>
      <c r="L142" s="66"/>
      <c r="M142" s="67"/>
      <c r="N142" s="67"/>
      <c r="O142" s="67"/>
      <c r="P142" s="67"/>
      <c r="Q142" s="71"/>
      <c r="R142" s="79"/>
      <c r="S142" s="79"/>
      <c r="U142" s="6" t="str">
        <f t="shared" si="18"/>
        <v/>
      </c>
    </row>
    <row r="143" s="6" customFormat="1">
      <c r="A143" s="2"/>
      <c r="B143" s="10"/>
      <c r="C143" s="10"/>
      <c r="D143" s="84"/>
      <c r="E143" s="84"/>
      <c r="F143" s="85"/>
      <c r="G143" s="84"/>
      <c r="H143" s="84"/>
      <c r="I143" s="84"/>
      <c r="J143" s="84"/>
      <c r="K143" s="58"/>
      <c r="L143" s="59"/>
      <c r="M143" s="60"/>
      <c r="N143" s="60"/>
      <c r="O143" s="60"/>
      <c r="P143" s="60"/>
      <c r="Q143" s="53" t="str">
        <f>IF(B143&lt;&gt;"",IF($B$12="Ductos en lana de vidrio ",(ROUNDDOWN(1.3*(POWER(((B143-2)*(C143-2)),0.625)/POWER(((B143-2)+(C143-2)),0.25)),0)),IF($B$12="Aa ductos con aislamiento interno",(ROUNDDOWN(1.3*(POWER(((B143-2)*(C143-2)),0.625)/POWER(((B143-2)+(C143-2)),0.25)),0)),(ROUNDDOWN(1.3*(POWER((B143*C143),0.625)/POWER((B143+C143),0.25)),0)))),"")</f>
        <v/>
      </c>
      <c r="R143" s="5"/>
      <c r="S143" s="5"/>
      <c r="T143" s="1"/>
      <c r="U143" s="1"/>
      <c r="X143" s="1"/>
      <c r="Y143" s="1"/>
      <c r="Z143" s="1"/>
    </row>
    <row r="144" ht="15.75" customHeight="1">
      <c r="D144" s="86" t="s">
        <v>47</v>
      </c>
      <c r="E144" s="86"/>
      <c r="F144" s="87"/>
      <c r="G144" s="86"/>
      <c r="H144" s="86"/>
      <c r="I144" s="88">
        <f>SUM(I16:I141)</f>
        <v>952.8891279999998</v>
      </c>
      <c r="J144" s="86"/>
      <c r="K144" s="89">
        <f t="shared" ref="K144:P144" si="44">SUM(K16:K142)</f>
        <v>5523.1618162400009</v>
      </c>
      <c r="L144" s="89">
        <f t="shared" si="44"/>
        <v>0</v>
      </c>
      <c r="M144" s="89">
        <f t="shared" si="44"/>
        <v>610.15279543999986</v>
      </c>
      <c r="N144" s="89">
        <f t="shared" si="44"/>
        <v>3193.728944</v>
      </c>
      <c r="O144" s="89">
        <f t="shared" si="44"/>
        <v>1719.2800768</v>
      </c>
      <c r="P144" s="89">
        <f t="shared" si="44"/>
        <v>0</v>
      </c>
    </row>
    <row r="145" ht="17.25" customHeight="1">
      <c r="B145" s="10"/>
      <c r="C145" s="10"/>
      <c r="D145" s="10"/>
      <c r="E145" s="10"/>
      <c r="F145" s="90"/>
      <c r="G145" s="10"/>
      <c r="H145" s="10"/>
      <c r="I145" s="10"/>
      <c r="J145" s="91" t="s">
        <v>48</v>
      </c>
      <c r="K145" s="92">
        <v>1.2</v>
      </c>
      <c r="L145" s="93"/>
      <c r="M145" s="10"/>
      <c r="N145" s="10"/>
      <c r="O145" s="10"/>
      <c r="P145" s="10"/>
    </row>
    <row r="146" ht="15" customHeight="1">
      <c r="A146" s="94"/>
      <c r="B146" s="95"/>
      <c r="C146" s="95"/>
      <c r="D146" s="95"/>
      <c r="E146" s="95"/>
      <c r="I146" s="10"/>
      <c r="J146" s="91" t="s">
        <v>49</v>
      </c>
      <c r="K146" s="96">
        <f t="shared" ref="K146:P146" si="45">ROUND(K144*$K$145,0)</f>
        <v>6628</v>
      </c>
      <c r="L146" s="96">
        <f t="shared" si="45"/>
        <v>0</v>
      </c>
      <c r="M146" s="96">
        <f>ROUND(M144*$K$145,0)</f>
        <v>732</v>
      </c>
      <c r="N146" s="96">
        <f t="shared" si="45"/>
        <v>3832</v>
      </c>
      <c r="O146" s="96">
        <f t="shared" si="45"/>
        <v>2063</v>
      </c>
      <c r="P146" s="96">
        <f t="shared" si="45"/>
        <v>0</v>
      </c>
    </row>
    <row r="147" ht="3.75" customHeight="1">
      <c r="A147" s="94"/>
      <c r="B147" s="95"/>
      <c r="C147" s="95"/>
      <c r="D147" s="95"/>
      <c r="E147" s="95"/>
      <c r="L147" s="97"/>
    </row>
    <row r="148" ht="13.800000000000001">
      <c r="A148" s="94"/>
      <c r="B148" s="55"/>
      <c r="C148" s="95" t="s">
        <v>50</v>
      </c>
      <c r="D148" s="95"/>
      <c r="E148" s="95"/>
      <c r="J148" s="91" t="s">
        <v>51</v>
      </c>
      <c r="L148" s="98">
        <f>+K146+L146</f>
        <v>6628</v>
      </c>
      <c r="M148" s="99">
        <f>+M146+N146+O146+P146</f>
        <v>6627</v>
      </c>
    </row>
    <row r="149">
      <c r="A149" s="94"/>
      <c r="B149" s="77"/>
      <c r="C149" s="95" t="s">
        <v>52</v>
      </c>
      <c r="D149" s="95"/>
      <c r="E149" s="95"/>
      <c r="J149" s="91" t="s">
        <v>53</v>
      </c>
      <c r="L149" s="97"/>
      <c r="M149" s="100">
        <f>M146/11.65</f>
        <v>62.832618025751074</v>
      </c>
      <c r="N149" s="101">
        <f>N146/16.25</f>
        <v>235.8153846153846</v>
      </c>
      <c r="O149" s="101">
        <f>O146/23.21</f>
        <v>88.884101680310209</v>
      </c>
      <c r="P149" s="101">
        <f>P146/33.15</f>
        <v>0</v>
      </c>
    </row>
    <row r="150">
      <c r="A150" s="94"/>
      <c r="B150" s="95"/>
      <c r="C150" s="95"/>
      <c r="D150" s="95"/>
      <c r="E150" s="95"/>
      <c r="I150" s="1">
        <f>I144*K145</f>
        <v>1143.4669535999997</v>
      </c>
    </row>
    <row r="151">
      <c r="A151" s="94"/>
      <c r="B151" s="95"/>
      <c r="C151" s="95"/>
      <c r="D151" s="95"/>
      <c r="E151" s="95"/>
      <c r="H151" s="102" t="s">
        <v>54</v>
      </c>
      <c r="I151" s="103">
        <f>ROUND((I150/(1.2*3)),0)</f>
        <v>318</v>
      </c>
    </row>
    <row r="152">
      <c r="A152" s="94"/>
      <c r="B152" s="95"/>
      <c r="C152" s="95"/>
      <c r="D152" s="95"/>
      <c r="E152" s="95"/>
    </row>
  </sheetData>
  <autoFilter ref="A15:S142">
    <sortState ref="A16:S142">
      <sortCondition sortBy="cellColor" ref="B15:B142" dxfId="0"/>
    </sortState>
  </autoFilter>
  <mergeCells count="5">
    <mergeCell ref="O1:P1"/>
    <mergeCell ref="O2:P2"/>
    <mergeCell ref="B12:G12"/>
    <mergeCell ref="G13:H13"/>
    <mergeCell ref="M13:P13"/>
  </mergeCells>
  <printOptions headings="0" gridLines="0"/>
  <pageMargins left="0.74803149606299213" right="0.74803149606299213" top="0.98425196850393704" bottom="0.98425196850393704" header="0" footer="0"/>
  <pageSetup paperSize="9" scale="22" fitToWidth="1" fitToHeight="1" pageOrder="downThenOver" orientation="landscape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33250CBE-95A2-4589-BDB6-2110DEFD5EE6}" type="list" allowBlank="1" errorStyle="stop" imeMode="noControl" operator="between" showDropDown="0" showErrorMessage="1" showInputMessage="1">
          <x14:formula1>
            <xm:f>$B$3:$B$7</xm:f>
          </x14:formula1>
          <xm:sqref>B12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Manrique</dc:creator>
  <cp:revision>1</cp:revision>
  <dcterms:created xsi:type="dcterms:W3CDTF">2026-06-15T19:24:37Z</dcterms:created>
  <dcterms:modified xsi:type="dcterms:W3CDTF">2026-09-04T14:24:48Z</dcterms:modified>
</cp:coreProperties>
</file>